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aureen_a_estruch_civ_us_navy_mil/Documents/Documents/My Documents/Data Calls/LCDR Allison DL Scores/"/>
    </mc:Choice>
  </mc:AlternateContent>
  <xr:revisionPtr revIDLastSave="601" documentId="8_{F64B6896-61F3-4EEC-8CB5-5202165ADE54}" xr6:coauthVersionLast="47" xr6:coauthVersionMax="47" xr10:uidLastSave="{408F7FB2-B37B-4EAA-B50F-53081D52C8CA}"/>
  <bookViews>
    <workbookView xWindow="28680" yWindow="90" windowWidth="29040" windowHeight="15510" xr2:uid="{00000000-000D-0000-FFFF-FFFF00000000}"/>
  </bookViews>
  <sheets>
    <sheet name="CNIC" sheetId="1" r:id="rId1"/>
    <sheet name="PACFLT" sheetId="2" r:id="rId2"/>
    <sheet name="Fleet Forces" sheetId="3" r:id="rId3"/>
    <sheet name="NAVCENT" sheetId="6" r:id="rId4"/>
    <sheet name="EURAF" sheetId="5" r:id="rId5"/>
    <sheet name="NR" sheetId="4" r:id="rId6"/>
    <sheet name="Fleet Cyber" sheetId="7" r:id="rId7"/>
    <sheet name="MyNavyHR" sheetId="8" r:id="rId8"/>
  </sheets>
  <definedNames>
    <definedName name="_xlnm._FilterDatabase" localSheetId="0" hidden="1">CNIC!$A$1:$P$91</definedName>
    <definedName name="_xlnm._FilterDatabase" localSheetId="4" hidden="1">EURAF!$B$1:$P$91</definedName>
    <definedName name="_xlnm._FilterDatabase" localSheetId="6" hidden="1">'Fleet Cyber'!$B$1:$P$91</definedName>
    <definedName name="_xlnm._FilterDatabase" localSheetId="2" hidden="1">'Fleet Forces'!$B$1:$P$91</definedName>
    <definedName name="_xlnm._FilterDatabase" localSheetId="7" hidden="1">MyNavyHR!$B$1:$P$91</definedName>
    <definedName name="_xlnm._FilterDatabase" localSheetId="3" hidden="1">NAVCENT!$B$1:$P$91</definedName>
    <definedName name="_xlnm._FilterDatabase" localSheetId="5" hidden="1">NR!$B$1:$P$91</definedName>
    <definedName name="_xlnm._FilterDatabase" localSheetId="1" hidden="1">PACFLT!$A$1:$P$91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8" l="1"/>
  <c r="N3" i="8"/>
  <c r="O3" i="8"/>
  <c r="P3" i="8"/>
  <c r="M4" i="8"/>
  <c r="N4" i="8"/>
  <c r="O4" i="8"/>
  <c r="P4" i="8"/>
  <c r="M5" i="8"/>
  <c r="N5" i="8"/>
  <c r="O5" i="8"/>
  <c r="P5" i="8"/>
  <c r="M6" i="8"/>
  <c r="N6" i="8"/>
  <c r="O6" i="8"/>
  <c r="P6" i="8"/>
  <c r="M7" i="8"/>
  <c r="N7" i="8"/>
  <c r="O7" i="8"/>
  <c r="P7" i="8"/>
  <c r="M8" i="8"/>
  <c r="N8" i="8"/>
  <c r="O8" i="8"/>
  <c r="P8" i="8"/>
  <c r="M9" i="8"/>
  <c r="N9" i="8"/>
  <c r="O9" i="8"/>
  <c r="P9" i="8"/>
  <c r="M10" i="8"/>
  <c r="N10" i="8"/>
  <c r="O10" i="8"/>
  <c r="P10" i="8"/>
  <c r="M11" i="8"/>
  <c r="N11" i="8"/>
  <c r="O11" i="8"/>
  <c r="P11" i="8"/>
  <c r="M12" i="8"/>
  <c r="N12" i="8"/>
  <c r="O12" i="8"/>
  <c r="P12" i="8"/>
  <c r="M13" i="8"/>
  <c r="N13" i="8"/>
  <c r="O13" i="8"/>
  <c r="P13" i="8"/>
  <c r="M14" i="8"/>
  <c r="N14" i="8"/>
  <c r="O14" i="8"/>
  <c r="P14" i="8"/>
  <c r="M15" i="8"/>
  <c r="N15" i="8"/>
  <c r="O15" i="8"/>
  <c r="P15" i="8"/>
  <c r="M16" i="8"/>
  <c r="N16" i="8"/>
  <c r="O16" i="8"/>
  <c r="P16" i="8"/>
  <c r="M17" i="8"/>
  <c r="N17" i="8"/>
  <c r="O17" i="8"/>
  <c r="P17" i="8"/>
  <c r="M18" i="8"/>
  <c r="N18" i="8"/>
  <c r="O18" i="8"/>
  <c r="P18" i="8"/>
  <c r="M19" i="8"/>
  <c r="N19" i="8"/>
  <c r="O19" i="8"/>
  <c r="P19" i="8"/>
  <c r="M20" i="8"/>
  <c r="N20" i="8"/>
  <c r="O20" i="8"/>
  <c r="P20" i="8"/>
  <c r="M21" i="8"/>
  <c r="N21" i="8"/>
  <c r="O21" i="8"/>
  <c r="P21" i="8"/>
  <c r="M22" i="8"/>
  <c r="N22" i="8"/>
  <c r="O22" i="8"/>
  <c r="P22" i="8"/>
  <c r="M23" i="8"/>
  <c r="N23" i="8"/>
  <c r="O23" i="8"/>
  <c r="P23" i="8"/>
  <c r="M24" i="8"/>
  <c r="N24" i="8"/>
  <c r="O24" i="8"/>
  <c r="P24" i="8"/>
  <c r="M25" i="8"/>
  <c r="N25" i="8"/>
  <c r="O25" i="8"/>
  <c r="P25" i="8"/>
  <c r="M26" i="8"/>
  <c r="N26" i="8"/>
  <c r="O26" i="8"/>
  <c r="P26" i="8"/>
  <c r="M27" i="8"/>
  <c r="N27" i="8"/>
  <c r="O27" i="8"/>
  <c r="P27" i="8"/>
  <c r="M28" i="8"/>
  <c r="N28" i="8"/>
  <c r="O28" i="8"/>
  <c r="P28" i="8"/>
  <c r="M29" i="8"/>
  <c r="N29" i="8"/>
  <c r="O29" i="8"/>
  <c r="P29" i="8"/>
  <c r="M30" i="8"/>
  <c r="N30" i="8"/>
  <c r="O30" i="8"/>
  <c r="P30" i="8"/>
  <c r="M31" i="8"/>
  <c r="N31" i="8"/>
  <c r="O31" i="8"/>
  <c r="P31" i="8"/>
  <c r="M32" i="8"/>
  <c r="N32" i="8"/>
  <c r="O32" i="8"/>
  <c r="P32" i="8"/>
  <c r="M33" i="8"/>
  <c r="N33" i="8"/>
  <c r="O33" i="8"/>
  <c r="P33" i="8"/>
  <c r="M34" i="8"/>
  <c r="N34" i="8"/>
  <c r="O34" i="8"/>
  <c r="P34" i="8"/>
  <c r="M35" i="8"/>
  <c r="N35" i="8"/>
  <c r="O35" i="8"/>
  <c r="P35" i="8"/>
  <c r="M36" i="8"/>
  <c r="N36" i="8"/>
  <c r="O36" i="8"/>
  <c r="P36" i="8"/>
  <c r="M37" i="8"/>
  <c r="N37" i="8"/>
  <c r="O37" i="8"/>
  <c r="P37" i="8"/>
  <c r="M38" i="8"/>
  <c r="N38" i="8"/>
  <c r="O38" i="8"/>
  <c r="P38" i="8"/>
  <c r="M39" i="8"/>
  <c r="N39" i="8"/>
  <c r="O39" i="8"/>
  <c r="P39" i="8"/>
  <c r="M40" i="8"/>
  <c r="N40" i="8"/>
  <c r="O40" i="8"/>
  <c r="P40" i="8"/>
  <c r="M41" i="8"/>
  <c r="N41" i="8"/>
  <c r="O41" i="8"/>
  <c r="P41" i="8"/>
  <c r="M42" i="8"/>
  <c r="N42" i="8"/>
  <c r="O42" i="8"/>
  <c r="P42" i="8"/>
  <c r="M43" i="8"/>
  <c r="N43" i="8"/>
  <c r="O43" i="8"/>
  <c r="P43" i="8"/>
  <c r="M44" i="8"/>
  <c r="N44" i="8"/>
  <c r="O44" i="8"/>
  <c r="P44" i="8"/>
  <c r="M45" i="8"/>
  <c r="N45" i="8"/>
  <c r="O45" i="8"/>
  <c r="P45" i="8"/>
  <c r="M46" i="8"/>
  <c r="N46" i="8"/>
  <c r="O46" i="8"/>
  <c r="P46" i="8"/>
  <c r="M47" i="8"/>
  <c r="N47" i="8"/>
  <c r="O47" i="8"/>
  <c r="P47" i="8"/>
  <c r="M48" i="8"/>
  <c r="N48" i="8"/>
  <c r="O48" i="8"/>
  <c r="P48" i="8"/>
  <c r="M49" i="8"/>
  <c r="N49" i="8"/>
  <c r="O49" i="8"/>
  <c r="P49" i="8"/>
  <c r="M50" i="8"/>
  <c r="N50" i="8"/>
  <c r="O50" i="8"/>
  <c r="P50" i="8"/>
  <c r="M51" i="8"/>
  <c r="N51" i="8"/>
  <c r="O51" i="8"/>
  <c r="P51" i="8"/>
  <c r="M52" i="8"/>
  <c r="N52" i="8"/>
  <c r="O52" i="8"/>
  <c r="P52" i="8"/>
  <c r="M53" i="8"/>
  <c r="N53" i="8"/>
  <c r="O53" i="8"/>
  <c r="P53" i="8"/>
  <c r="M54" i="8"/>
  <c r="N54" i="8"/>
  <c r="O54" i="8"/>
  <c r="P54" i="8"/>
  <c r="M55" i="8"/>
  <c r="N55" i="8"/>
  <c r="O55" i="8"/>
  <c r="P55" i="8"/>
  <c r="M56" i="8"/>
  <c r="N56" i="8"/>
  <c r="O56" i="8"/>
  <c r="P56" i="8"/>
  <c r="M57" i="8"/>
  <c r="N57" i="8"/>
  <c r="O57" i="8"/>
  <c r="P57" i="8"/>
  <c r="M58" i="8"/>
  <c r="N58" i="8"/>
  <c r="O58" i="8"/>
  <c r="P58" i="8"/>
  <c r="M59" i="8"/>
  <c r="N59" i="8"/>
  <c r="O59" i="8"/>
  <c r="P59" i="8"/>
  <c r="M60" i="8"/>
  <c r="N60" i="8"/>
  <c r="O60" i="8"/>
  <c r="P60" i="8"/>
  <c r="M61" i="8"/>
  <c r="N61" i="8"/>
  <c r="O61" i="8"/>
  <c r="P61" i="8"/>
  <c r="M62" i="8"/>
  <c r="N62" i="8"/>
  <c r="O62" i="8"/>
  <c r="P62" i="8"/>
  <c r="M63" i="8"/>
  <c r="N63" i="8"/>
  <c r="O63" i="8"/>
  <c r="P63" i="8"/>
  <c r="M64" i="8"/>
  <c r="N64" i="8"/>
  <c r="O64" i="8"/>
  <c r="P64" i="8"/>
  <c r="M65" i="8"/>
  <c r="N65" i="8"/>
  <c r="O65" i="8"/>
  <c r="P65" i="8"/>
  <c r="M66" i="8"/>
  <c r="N66" i="8"/>
  <c r="O66" i="8"/>
  <c r="P66" i="8"/>
  <c r="M67" i="8"/>
  <c r="N67" i="8"/>
  <c r="O67" i="8"/>
  <c r="P67" i="8"/>
  <c r="M68" i="8"/>
  <c r="N68" i="8"/>
  <c r="O68" i="8"/>
  <c r="P68" i="8"/>
  <c r="M69" i="8"/>
  <c r="N69" i="8"/>
  <c r="O69" i="8"/>
  <c r="P69" i="8"/>
  <c r="M70" i="8"/>
  <c r="N70" i="8"/>
  <c r="O70" i="8"/>
  <c r="P70" i="8"/>
  <c r="M71" i="8"/>
  <c r="N71" i="8"/>
  <c r="O71" i="8"/>
  <c r="P71" i="8"/>
  <c r="M72" i="8"/>
  <c r="N72" i="8"/>
  <c r="O72" i="8"/>
  <c r="P72" i="8"/>
  <c r="M73" i="8"/>
  <c r="N73" i="8"/>
  <c r="O73" i="8"/>
  <c r="P73" i="8"/>
  <c r="M74" i="8"/>
  <c r="N74" i="8"/>
  <c r="O74" i="8"/>
  <c r="P74" i="8"/>
  <c r="M75" i="8"/>
  <c r="N75" i="8"/>
  <c r="O75" i="8"/>
  <c r="P75" i="8"/>
  <c r="M76" i="8"/>
  <c r="N76" i="8"/>
  <c r="O76" i="8"/>
  <c r="P76" i="8"/>
  <c r="M77" i="8"/>
  <c r="N77" i="8"/>
  <c r="O77" i="8"/>
  <c r="P77" i="8"/>
  <c r="M78" i="8"/>
  <c r="N78" i="8"/>
  <c r="O78" i="8"/>
  <c r="P78" i="8"/>
  <c r="M79" i="8"/>
  <c r="N79" i="8"/>
  <c r="O79" i="8"/>
  <c r="P79" i="8"/>
  <c r="M80" i="8"/>
  <c r="N80" i="8"/>
  <c r="O80" i="8"/>
  <c r="P80" i="8"/>
  <c r="M81" i="8"/>
  <c r="N81" i="8"/>
  <c r="O81" i="8"/>
  <c r="P81" i="8"/>
  <c r="M82" i="8"/>
  <c r="N82" i="8"/>
  <c r="O82" i="8"/>
  <c r="P82" i="8"/>
  <c r="M83" i="8"/>
  <c r="N83" i="8"/>
  <c r="O83" i="8"/>
  <c r="P83" i="8"/>
  <c r="M84" i="8"/>
  <c r="N84" i="8"/>
  <c r="O84" i="8"/>
  <c r="P84" i="8"/>
  <c r="M85" i="8"/>
  <c r="N85" i="8"/>
  <c r="O85" i="8"/>
  <c r="P85" i="8"/>
  <c r="M86" i="8"/>
  <c r="N86" i="8"/>
  <c r="O86" i="8"/>
  <c r="P86" i="8"/>
  <c r="M87" i="8"/>
  <c r="N87" i="8"/>
  <c r="O87" i="8"/>
  <c r="P87" i="8"/>
  <c r="M88" i="8"/>
  <c r="N88" i="8"/>
  <c r="O88" i="8"/>
  <c r="P88" i="8"/>
  <c r="M89" i="8"/>
  <c r="N89" i="8"/>
  <c r="O89" i="8"/>
  <c r="P89" i="8"/>
  <c r="M90" i="8"/>
  <c r="N90" i="8"/>
  <c r="O90" i="8"/>
  <c r="P90" i="8"/>
  <c r="M91" i="8"/>
  <c r="N91" i="8"/>
  <c r="O91" i="8"/>
  <c r="P91" i="8"/>
  <c r="P2" i="8"/>
  <c r="O2" i="8"/>
  <c r="N2" i="8"/>
  <c r="M2" i="8"/>
  <c r="M2" i="7"/>
  <c r="N2" i="7"/>
  <c r="O2" i="7"/>
  <c r="P2" i="7"/>
  <c r="M3" i="7"/>
  <c r="N3" i="7"/>
  <c r="O3" i="7"/>
  <c r="P3" i="7"/>
  <c r="M4" i="7"/>
  <c r="N4" i="7"/>
  <c r="O4" i="7"/>
  <c r="P4" i="7"/>
  <c r="M5" i="7"/>
  <c r="N5" i="7"/>
  <c r="O5" i="7"/>
  <c r="P5" i="7"/>
  <c r="M6" i="7"/>
  <c r="N6" i="7"/>
  <c r="O6" i="7"/>
  <c r="P6" i="7"/>
  <c r="M7" i="7"/>
  <c r="N7" i="7"/>
  <c r="O7" i="7"/>
  <c r="P7" i="7"/>
  <c r="M8" i="7"/>
  <c r="N8" i="7"/>
  <c r="O8" i="7"/>
  <c r="P8" i="7"/>
  <c r="M9" i="7"/>
  <c r="N9" i="7"/>
  <c r="O9" i="7"/>
  <c r="P9" i="7"/>
  <c r="M10" i="7"/>
  <c r="N10" i="7"/>
  <c r="O10" i="7"/>
  <c r="P10" i="7"/>
  <c r="M11" i="7"/>
  <c r="N11" i="7"/>
  <c r="O11" i="7"/>
  <c r="P11" i="7"/>
  <c r="M12" i="7"/>
  <c r="N12" i="7"/>
  <c r="O12" i="7"/>
  <c r="P12" i="7"/>
  <c r="M13" i="7"/>
  <c r="N13" i="7"/>
  <c r="O13" i="7"/>
  <c r="P13" i="7"/>
  <c r="M14" i="7"/>
  <c r="N14" i="7"/>
  <c r="O14" i="7"/>
  <c r="P14" i="7"/>
  <c r="M15" i="7"/>
  <c r="N15" i="7"/>
  <c r="O15" i="7"/>
  <c r="P15" i="7"/>
  <c r="M16" i="7"/>
  <c r="N16" i="7"/>
  <c r="O16" i="7"/>
  <c r="P16" i="7"/>
  <c r="M17" i="7"/>
  <c r="N17" i="7"/>
  <c r="O17" i="7"/>
  <c r="P17" i="7"/>
  <c r="M18" i="7"/>
  <c r="N18" i="7"/>
  <c r="O18" i="7"/>
  <c r="P18" i="7"/>
  <c r="M19" i="7"/>
  <c r="N19" i="7"/>
  <c r="O19" i="7"/>
  <c r="P19" i="7"/>
  <c r="M20" i="7"/>
  <c r="N20" i="7"/>
  <c r="O20" i="7"/>
  <c r="P20" i="7"/>
  <c r="M21" i="7"/>
  <c r="N21" i="7"/>
  <c r="O21" i="7"/>
  <c r="P21" i="7"/>
  <c r="M22" i="7"/>
  <c r="N22" i="7"/>
  <c r="O22" i="7"/>
  <c r="P22" i="7"/>
  <c r="M23" i="7"/>
  <c r="N23" i="7"/>
  <c r="O23" i="7"/>
  <c r="P23" i="7"/>
  <c r="M24" i="7"/>
  <c r="N24" i="7"/>
  <c r="O24" i="7"/>
  <c r="P24" i="7"/>
  <c r="M25" i="7"/>
  <c r="N25" i="7"/>
  <c r="O25" i="7"/>
  <c r="P25" i="7"/>
  <c r="M26" i="7"/>
  <c r="N26" i="7"/>
  <c r="O26" i="7"/>
  <c r="P26" i="7"/>
  <c r="M27" i="7"/>
  <c r="N27" i="7"/>
  <c r="O27" i="7"/>
  <c r="P27" i="7"/>
  <c r="M28" i="7"/>
  <c r="N28" i="7"/>
  <c r="O28" i="7"/>
  <c r="P28" i="7"/>
  <c r="M29" i="7"/>
  <c r="N29" i="7"/>
  <c r="O29" i="7"/>
  <c r="P29" i="7"/>
  <c r="M30" i="7"/>
  <c r="N30" i="7"/>
  <c r="O30" i="7"/>
  <c r="P30" i="7"/>
  <c r="M31" i="7"/>
  <c r="N31" i="7"/>
  <c r="O31" i="7"/>
  <c r="P31" i="7"/>
  <c r="M32" i="7"/>
  <c r="N32" i="7"/>
  <c r="O32" i="7"/>
  <c r="P32" i="7"/>
  <c r="M33" i="7"/>
  <c r="N33" i="7"/>
  <c r="O33" i="7"/>
  <c r="P33" i="7"/>
  <c r="M34" i="7"/>
  <c r="N34" i="7"/>
  <c r="O34" i="7"/>
  <c r="P34" i="7"/>
  <c r="M35" i="7"/>
  <c r="N35" i="7"/>
  <c r="O35" i="7"/>
  <c r="P35" i="7"/>
  <c r="M36" i="7"/>
  <c r="N36" i="7"/>
  <c r="O36" i="7"/>
  <c r="P36" i="7"/>
  <c r="M37" i="7"/>
  <c r="N37" i="7"/>
  <c r="O37" i="7"/>
  <c r="P37" i="7"/>
  <c r="M38" i="7"/>
  <c r="N38" i="7"/>
  <c r="O38" i="7"/>
  <c r="P38" i="7"/>
  <c r="M39" i="7"/>
  <c r="N39" i="7"/>
  <c r="O39" i="7"/>
  <c r="P39" i="7"/>
  <c r="M40" i="7"/>
  <c r="N40" i="7"/>
  <c r="O40" i="7"/>
  <c r="P40" i="7"/>
  <c r="M41" i="7"/>
  <c r="N41" i="7"/>
  <c r="O41" i="7"/>
  <c r="P41" i="7"/>
  <c r="M42" i="7"/>
  <c r="N42" i="7"/>
  <c r="O42" i="7"/>
  <c r="P42" i="7"/>
  <c r="M43" i="7"/>
  <c r="N43" i="7"/>
  <c r="O43" i="7"/>
  <c r="P43" i="7"/>
  <c r="M44" i="7"/>
  <c r="N44" i="7"/>
  <c r="O44" i="7"/>
  <c r="P44" i="7"/>
  <c r="M45" i="7"/>
  <c r="N45" i="7"/>
  <c r="O45" i="7"/>
  <c r="P45" i="7"/>
  <c r="M46" i="7"/>
  <c r="N46" i="7"/>
  <c r="O46" i="7"/>
  <c r="P46" i="7"/>
  <c r="M47" i="7"/>
  <c r="N47" i="7"/>
  <c r="O47" i="7"/>
  <c r="P47" i="7"/>
  <c r="M48" i="7"/>
  <c r="N48" i="7"/>
  <c r="O48" i="7"/>
  <c r="P48" i="7"/>
  <c r="M49" i="7"/>
  <c r="N49" i="7"/>
  <c r="O49" i="7"/>
  <c r="P49" i="7"/>
  <c r="M50" i="7"/>
  <c r="N50" i="7"/>
  <c r="O50" i="7"/>
  <c r="P50" i="7"/>
  <c r="M51" i="7"/>
  <c r="N51" i="7"/>
  <c r="O51" i="7"/>
  <c r="P51" i="7"/>
  <c r="M52" i="7"/>
  <c r="N52" i="7"/>
  <c r="O52" i="7"/>
  <c r="P52" i="7"/>
  <c r="M53" i="7"/>
  <c r="N53" i="7"/>
  <c r="O53" i="7"/>
  <c r="P53" i="7"/>
  <c r="M54" i="7"/>
  <c r="N54" i="7"/>
  <c r="O54" i="7"/>
  <c r="P54" i="7"/>
  <c r="M55" i="7"/>
  <c r="N55" i="7"/>
  <c r="O55" i="7"/>
  <c r="P55" i="7"/>
  <c r="M56" i="7"/>
  <c r="N56" i="7"/>
  <c r="O56" i="7"/>
  <c r="P56" i="7"/>
  <c r="M57" i="7"/>
  <c r="N57" i="7"/>
  <c r="O57" i="7"/>
  <c r="P57" i="7"/>
  <c r="M58" i="7"/>
  <c r="N58" i="7"/>
  <c r="O58" i="7"/>
  <c r="P58" i="7"/>
  <c r="M59" i="7"/>
  <c r="N59" i="7"/>
  <c r="O59" i="7"/>
  <c r="P59" i="7"/>
  <c r="M60" i="7"/>
  <c r="N60" i="7"/>
  <c r="O60" i="7"/>
  <c r="P60" i="7"/>
  <c r="M61" i="7"/>
  <c r="N61" i="7"/>
  <c r="O61" i="7"/>
  <c r="P61" i="7"/>
  <c r="M62" i="7"/>
  <c r="N62" i="7"/>
  <c r="O62" i="7"/>
  <c r="P62" i="7"/>
  <c r="M63" i="7"/>
  <c r="N63" i="7"/>
  <c r="O63" i="7"/>
  <c r="P63" i="7"/>
  <c r="M64" i="7"/>
  <c r="N64" i="7"/>
  <c r="O64" i="7"/>
  <c r="P64" i="7"/>
  <c r="M65" i="7"/>
  <c r="N65" i="7"/>
  <c r="O65" i="7"/>
  <c r="P65" i="7"/>
  <c r="M66" i="7"/>
  <c r="N66" i="7"/>
  <c r="O66" i="7"/>
  <c r="P66" i="7"/>
  <c r="M67" i="7"/>
  <c r="N67" i="7"/>
  <c r="O67" i="7"/>
  <c r="P67" i="7"/>
  <c r="M68" i="7"/>
  <c r="N68" i="7"/>
  <c r="O68" i="7"/>
  <c r="P68" i="7"/>
  <c r="M69" i="7"/>
  <c r="N69" i="7"/>
  <c r="O69" i="7"/>
  <c r="P69" i="7"/>
  <c r="M70" i="7"/>
  <c r="N70" i="7"/>
  <c r="O70" i="7"/>
  <c r="P70" i="7"/>
  <c r="M71" i="7"/>
  <c r="N71" i="7"/>
  <c r="O71" i="7"/>
  <c r="P71" i="7"/>
  <c r="M72" i="7"/>
  <c r="N72" i="7"/>
  <c r="O72" i="7"/>
  <c r="P72" i="7"/>
  <c r="M73" i="7"/>
  <c r="N73" i="7"/>
  <c r="O73" i="7"/>
  <c r="P73" i="7"/>
  <c r="M74" i="7"/>
  <c r="N74" i="7"/>
  <c r="O74" i="7"/>
  <c r="P74" i="7"/>
  <c r="M75" i="7"/>
  <c r="N75" i="7"/>
  <c r="O75" i="7"/>
  <c r="P75" i="7"/>
  <c r="M76" i="7"/>
  <c r="N76" i="7"/>
  <c r="O76" i="7"/>
  <c r="P76" i="7"/>
  <c r="M77" i="7"/>
  <c r="N77" i="7"/>
  <c r="O77" i="7"/>
  <c r="P77" i="7"/>
  <c r="M78" i="7"/>
  <c r="N78" i="7"/>
  <c r="O78" i="7"/>
  <c r="P78" i="7"/>
  <c r="M79" i="7"/>
  <c r="N79" i="7"/>
  <c r="O79" i="7"/>
  <c r="P79" i="7"/>
  <c r="M80" i="7"/>
  <c r="N80" i="7"/>
  <c r="O80" i="7"/>
  <c r="P80" i="7"/>
  <c r="M81" i="7"/>
  <c r="N81" i="7"/>
  <c r="O81" i="7"/>
  <c r="P81" i="7"/>
  <c r="M82" i="7"/>
  <c r="N82" i="7"/>
  <c r="O82" i="7"/>
  <c r="P82" i="7"/>
  <c r="M83" i="7"/>
  <c r="N83" i="7"/>
  <c r="O83" i="7"/>
  <c r="P83" i="7"/>
  <c r="M84" i="7"/>
  <c r="N84" i="7"/>
  <c r="O84" i="7"/>
  <c r="P84" i="7"/>
  <c r="M85" i="7"/>
  <c r="N85" i="7"/>
  <c r="O85" i="7"/>
  <c r="P85" i="7"/>
  <c r="M86" i="7"/>
  <c r="N86" i="7"/>
  <c r="O86" i="7"/>
  <c r="P86" i="7"/>
  <c r="M87" i="7"/>
  <c r="N87" i="7"/>
  <c r="O87" i="7"/>
  <c r="P87" i="7"/>
  <c r="M88" i="7"/>
  <c r="N88" i="7"/>
  <c r="O88" i="7"/>
  <c r="P88" i="7"/>
  <c r="M89" i="7"/>
  <c r="N89" i="7"/>
  <c r="O89" i="7"/>
  <c r="P89" i="7"/>
  <c r="M90" i="7"/>
  <c r="N90" i="7"/>
  <c r="O90" i="7"/>
  <c r="P90" i="7"/>
  <c r="M91" i="7"/>
  <c r="N91" i="7"/>
  <c r="O91" i="7"/>
  <c r="P91" i="7"/>
  <c r="M2" i="6"/>
  <c r="N2" i="6"/>
  <c r="O2" i="6"/>
  <c r="P2" i="6"/>
  <c r="M3" i="6"/>
  <c r="N3" i="6"/>
  <c r="O3" i="6"/>
  <c r="P3" i="6"/>
  <c r="M4" i="6"/>
  <c r="N4" i="6"/>
  <c r="O4" i="6"/>
  <c r="P4" i="6"/>
  <c r="M5" i="6"/>
  <c r="N5" i="6"/>
  <c r="O5" i="6"/>
  <c r="P5" i="6"/>
  <c r="M6" i="6"/>
  <c r="N6" i="6"/>
  <c r="O6" i="6"/>
  <c r="P6" i="6"/>
  <c r="M7" i="6"/>
  <c r="N7" i="6"/>
  <c r="O7" i="6"/>
  <c r="P7" i="6"/>
  <c r="M8" i="6"/>
  <c r="N8" i="6"/>
  <c r="O8" i="6"/>
  <c r="P8" i="6"/>
  <c r="M9" i="6"/>
  <c r="N9" i="6"/>
  <c r="O9" i="6"/>
  <c r="P9" i="6"/>
  <c r="M10" i="6"/>
  <c r="N10" i="6"/>
  <c r="O10" i="6"/>
  <c r="P10" i="6"/>
  <c r="M11" i="6"/>
  <c r="N11" i="6"/>
  <c r="O11" i="6"/>
  <c r="P11" i="6"/>
  <c r="M12" i="6"/>
  <c r="N12" i="6"/>
  <c r="O12" i="6"/>
  <c r="P12" i="6"/>
  <c r="M13" i="6"/>
  <c r="N13" i="6"/>
  <c r="O13" i="6"/>
  <c r="P13" i="6"/>
  <c r="M14" i="6"/>
  <c r="N14" i="6"/>
  <c r="O14" i="6"/>
  <c r="P14" i="6"/>
  <c r="M15" i="6"/>
  <c r="N15" i="6"/>
  <c r="O15" i="6"/>
  <c r="P15" i="6"/>
  <c r="M16" i="6"/>
  <c r="N16" i="6"/>
  <c r="O16" i="6"/>
  <c r="P16" i="6"/>
  <c r="M17" i="6"/>
  <c r="N17" i="6"/>
  <c r="O17" i="6"/>
  <c r="P17" i="6"/>
  <c r="M18" i="6"/>
  <c r="N18" i="6"/>
  <c r="O18" i="6"/>
  <c r="P18" i="6"/>
  <c r="M19" i="6"/>
  <c r="N19" i="6"/>
  <c r="O19" i="6"/>
  <c r="P19" i="6"/>
  <c r="M20" i="6"/>
  <c r="N20" i="6"/>
  <c r="O20" i="6"/>
  <c r="P20" i="6"/>
  <c r="M21" i="6"/>
  <c r="N21" i="6"/>
  <c r="O21" i="6"/>
  <c r="P21" i="6"/>
  <c r="M22" i="6"/>
  <c r="N22" i="6"/>
  <c r="O22" i="6"/>
  <c r="P22" i="6"/>
  <c r="M23" i="6"/>
  <c r="N23" i="6"/>
  <c r="O23" i="6"/>
  <c r="P23" i="6"/>
  <c r="M24" i="6"/>
  <c r="N24" i="6"/>
  <c r="O24" i="6"/>
  <c r="P24" i="6"/>
  <c r="M25" i="6"/>
  <c r="N25" i="6"/>
  <c r="O25" i="6"/>
  <c r="P25" i="6"/>
  <c r="M26" i="6"/>
  <c r="N26" i="6"/>
  <c r="O26" i="6"/>
  <c r="P26" i="6"/>
  <c r="M27" i="6"/>
  <c r="N27" i="6"/>
  <c r="O27" i="6"/>
  <c r="P27" i="6"/>
  <c r="M28" i="6"/>
  <c r="N28" i="6"/>
  <c r="O28" i="6"/>
  <c r="P28" i="6"/>
  <c r="M29" i="6"/>
  <c r="N29" i="6"/>
  <c r="O29" i="6"/>
  <c r="P29" i="6"/>
  <c r="M30" i="6"/>
  <c r="N30" i="6"/>
  <c r="O30" i="6"/>
  <c r="P30" i="6"/>
  <c r="M31" i="6"/>
  <c r="N31" i="6"/>
  <c r="O31" i="6"/>
  <c r="P31" i="6"/>
  <c r="M32" i="6"/>
  <c r="N32" i="6"/>
  <c r="O32" i="6"/>
  <c r="P32" i="6"/>
  <c r="M33" i="6"/>
  <c r="N33" i="6"/>
  <c r="O33" i="6"/>
  <c r="P33" i="6"/>
  <c r="M34" i="6"/>
  <c r="N34" i="6"/>
  <c r="O34" i="6"/>
  <c r="P34" i="6"/>
  <c r="M35" i="6"/>
  <c r="N35" i="6"/>
  <c r="O35" i="6"/>
  <c r="P35" i="6"/>
  <c r="M36" i="6"/>
  <c r="N36" i="6"/>
  <c r="O36" i="6"/>
  <c r="P36" i="6"/>
  <c r="M37" i="6"/>
  <c r="N37" i="6"/>
  <c r="O37" i="6"/>
  <c r="P37" i="6"/>
  <c r="M38" i="6"/>
  <c r="N38" i="6"/>
  <c r="O38" i="6"/>
  <c r="P38" i="6"/>
  <c r="M39" i="6"/>
  <c r="N39" i="6"/>
  <c r="O39" i="6"/>
  <c r="P39" i="6"/>
  <c r="M40" i="6"/>
  <c r="N40" i="6"/>
  <c r="O40" i="6"/>
  <c r="P40" i="6"/>
  <c r="M41" i="6"/>
  <c r="N41" i="6"/>
  <c r="O41" i="6"/>
  <c r="P41" i="6"/>
  <c r="M42" i="6"/>
  <c r="N42" i="6"/>
  <c r="O42" i="6"/>
  <c r="P42" i="6"/>
  <c r="M43" i="6"/>
  <c r="N43" i="6"/>
  <c r="O43" i="6"/>
  <c r="P43" i="6"/>
  <c r="M44" i="6"/>
  <c r="N44" i="6"/>
  <c r="O44" i="6"/>
  <c r="P44" i="6"/>
  <c r="M45" i="6"/>
  <c r="N45" i="6"/>
  <c r="O45" i="6"/>
  <c r="P45" i="6"/>
  <c r="M46" i="6"/>
  <c r="N46" i="6"/>
  <c r="O46" i="6"/>
  <c r="P46" i="6"/>
  <c r="M47" i="6"/>
  <c r="N47" i="6"/>
  <c r="O47" i="6"/>
  <c r="P47" i="6"/>
  <c r="M48" i="6"/>
  <c r="N48" i="6"/>
  <c r="O48" i="6"/>
  <c r="P48" i="6"/>
  <c r="M49" i="6"/>
  <c r="N49" i="6"/>
  <c r="O49" i="6"/>
  <c r="P49" i="6"/>
  <c r="M50" i="6"/>
  <c r="N50" i="6"/>
  <c r="O50" i="6"/>
  <c r="P50" i="6"/>
  <c r="M51" i="6"/>
  <c r="N51" i="6"/>
  <c r="O51" i="6"/>
  <c r="P51" i="6"/>
  <c r="M52" i="6"/>
  <c r="N52" i="6"/>
  <c r="O52" i="6"/>
  <c r="P52" i="6"/>
  <c r="M53" i="6"/>
  <c r="N53" i="6"/>
  <c r="O53" i="6"/>
  <c r="P53" i="6"/>
  <c r="M54" i="6"/>
  <c r="N54" i="6"/>
  <c r="O54" i="6"/>
  <c r="P54" i="6"/>
  <c r="M55" i="6"/>
  <c r="N55" i="6"/>
  <c r="O55" i="6"/>
  <c r="P55" i="6"/>
  <c r="M56" i="6"/>
  <c r="N56" i="6"/>
  <c r="O56" i="6"/>
  <c r="P56" i="6"/>
  <c r="M57" i="6"/>
  <c r="N57" i="6"/>
  <c r="O57" i="6"/>
  <c r="P57" i="6"/>
  <c r="M58" i="6"/>
  <c r="N58" i="6"/>
  <c r="O58" i="6"/>
  <c r="P58" i="6"/>
  <c r="M59" i="6"/>
  <c r="N59" i="6"/>
  <c r="O59" i="6"/>
  <c r="P59" i="6"/>
  <c r="M60" i="6"/>
  <c r="N60" i="6"/>
  <c r="O60" i="6"/>
  <c r="P60" i="6"/>
  <c r="M61" i="6"/>
  <c r="N61" i="6"/>
  <c r="O61" i="6"/>
  <c r="P61" i="6"/>
  <c r="M62" i="6"/>
  <c r="N62" i="6"/>
  <c r="O62" i="6"/>
  <c r="P62" i="6"/>
  <c r="M63" i="6"/>
  <c r="N63" i="6"/>
  <c r="O63" i="6"/>
  <c r="P63" i="6"/>
  <c r="M64" i="6"/>
  <c r="N64" i="6"/>
  <c r="O64" i="6"/>
  <c r="P64" i="6"/>
  <c r="M65" i="6"/>
  <c r="N65" i="6"/>
  <c r="O65" i="6"/>
  <c r="P65" i="6"/>
  <c r="M66" i="6"/>
  <c r="N66" i="6"/>
  <c r="O66" i="6"/>
  <c r="P66" i="6"/>
  <c r="M67" i="6"/>
  <c r="N67" i="6"/>
  <c r="O67" i="6"/>
  <c r="P67" i="6"/>
  <c r="M68" i="6"/>
  <c r="N68" i="6"/>
  <c r="O68" i="6"/>
  <c r="P68" i="6"/>
  <c r="M69" i="6"/>
  <c r="N69" i="6"/>
  <c r="O69" i="6"/>
  <c r="P69" i="6"/>
  <c r="M70" i="6"/>
  <c r="N70" i="6"/>
  <c r="O70" i="6"/>
  <c r="P70" i="6"/>
  <c r="M71" i="6"/>
  <c r="N71" i="6"/>
  <c r="O71" i="6"/>
  <c r="P71" i="6"/>
  <c r="M72" i="6"/>
  <c r="N72" i="6"/>
  <c r="O72" i="6"/>
  <c r="P72" i="6"/>
  <c r="M73" i="6"/>
  <c r="N73" i="6"/>
  <c r="O73" i="6"/>
  <c r="P73" i="6"/>
  <c r="M74" i="6"/>
  <c r="N74" i="6"/>
  <c r="O74" i="6"/>
  <c r="P74" i="6"/>
  <c r="M75" i="6"/>
  <c r="N75" i="6"/>
  <c r="O75" i="6"/>
  <c r="P75" i="6"/>
  <c r="M76" i="6"/>
  <c r="N76" i="6"/>
  <c r="O76" i="6"/>
  <c r="P76" i="6"/>
  <c r="M77" i="6"/>
  <c r="N77" i="6"/>
  <c r="O77" i="6"/>
  <c r="P77" i="6"/>
  <c r="M78" i="6"/>
  <c r="N78" i="6"/>
  <c r="O78" i="6"/>
  <c r="P78" i="6"/>
  <c r="M79" i="6"/>
  <c r="N79" i="6"/>
  <c r="O79" i="6"/>
  <c r="P79" i="6"/>
  <c r="M80" i="6"/>
  <c r="N80" i="6"/>
  <c r="O80" i="6"/>
  <c r="P80" i="6"/>
  <c r="M81" i="6"/>
  <c r="N81" i="6"/>
  <c r="O81" i="6"/>
  <c r="P81" i="6"/>
  <c r="M82" i="6"/>
  <c r="N82" i="6"/>
  <c r="O82" i="6"/>
  <c r="P82" i="6"/>
  <c r="M83" i="6"/>
  <c r="N83" i="6"/>
  <c r="O83" i="6"/>
  <c r="P83" i="6"/>
  <c r="M84" i="6"/>
  <c r="N84" i="6"/>
  <c r="O84" i="6"/>
  <c r="P84" i="6"/>
  <c r="M85" i="6"/>
  <c r="N85" i="6"/>
  <c r="O85" i="6"/>
  <c r="P85" i="6"/>
  <c r="M86" i="6"/>
  <c r="N86" i="6"/>
  <c r="O86" i="6"/>
  <c r="P86" i="6"/>
  <c r="M87" i="6"/>
  <c r="N87" i="6"/>
  <c r="O87" i="6"/>
  <c r="P87" i="6"/>
  <c r="M88" i="6"/>
  <c r="N88" i="6"/>
  <c r="O88" i="6"/>
  <c r="P88" i="6"/>
  <c r="M89" i="6"/>
  <c r="N89" i="6"/>
  <c r="O89" i="6"/>
  <c r="P89" i="6"/>
  <c r="M90" i="6"/>
  <c r="N90" i="6"/>
  <c r="O90" i="6"/>
  <c r="P90" i="6"/>
  <c r="M91" i="6"/>
  <c r="N91" i="6"/>
  <c r="O91" i="6"/>
  <c r="P91" i="6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78" i="5"/>
  <c r="N78" i="5"/>
  <c r="O78" i="5"/>
  <c r="P78" i="5"/>
  <c r="M79" i="5"/>
  <c r="N79" i="5"/>
  <c r="O79" i="5"/>
  <c r="P79" i="5"/>
  <c r="M80" i="5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86" i="5"/>
  <c r="N86" i="5"/>
  <c r="O86" i="5"/>
  <c r="P86" i="5"/>
  <c r="M87" i="5"/>
  <c r="N87" i="5"/>
  <c r="O87" i="5"/>
  <c r="P87" i="5"/>
  <c r="M88" i="5"/>
  <c r="N88" i="5"/>
  <c r="O88" i="5"/>
  <c r="P88" i="5"/>
  <c r="M89" i="5"/>
  <c r="N89" i="5"/>
  <c r="O89" i="5"/>
  <c r="P89" i="5"/>
  <c r="M90" i="5"/>
  <c r="N90" i="5"/>
  <c r="O90" i="5"/>
  <c r="P90" i="5"/>
  <c r="M91" i="5"/>
  <c r="N91" i="5"/>
  <c r="O91" i="5"/>
  <c r="P91" i="5"/>
  <c r="P2" i="5"/>
  <c r="O2" i="5"/>
  <c r="N2" i="5"/>
  <c r="M2" i="5"/>
  <c r="M2" i="4"/>
  <c r="N2" i="4"/>
  <c r="O2" i="4"/>
  <c r="P2" i="4"/>
  <c r="M3" i="4"/>
  <c r="N3" i="4"/>
  <c r="O3" i="4"/>
  <c r="P3" i="4"/>
  <c r="M4" i="4"/>
  <c r="N4" i="4"/>
  <c r="O4" i="4"/>
  <c r="P4" i="4"/>
  <c r="M5" i="4"/>
  <c r="N5" i="4"/>
  <c r="O5" i="4"/>
  <c r="P5" i="4"/>
  <c r="M6" i="4"/>
  <c r="N6" i="4"/>
  <c r="O6" i="4"/>
  <c r="P6" i="4"/>
  <c r="M7" i="4"/>
  <c r="N7" i="4"/>
  <c r="O7" i="4"/>
  <c r="P7" i="4"/>
  <c r="M8" i="4"/>
  <c r="N8" i="4"/>
  <c r="O8" i="4"/>
  <c r="P8" i="4"/>
  <c r="M9" i="4"/>
  <c r="N9" i="4"/>
  <c r="O9" i="4"/>
  <c r="P9" i="4"/>
  <c r="M10" i="4"/>
  <c r="N10" i="4"/>
  <c r="O10" i="4"/>
  <c r="P10" i="4"/>
  <c r="M11" i="4"/>
  <c r="N11" i="4"/>
  <c r="O11" i="4"/>
  <c r="P11" i="4"/>
  <c r="M12" i="4"/>
  <c r="N12" i="4"/>
  <c r="O12" i="4"/>
  <c r="P12" i="4"/>
  <c r="M13" i="4"/>
  <c r="N13" i="4"/>
  <c r="O13" i="4"/>
  <c r="P13" i="4"/>
  <c r="M14" i="4"/>
  <c r="N14" i="4"/>
  <c r="O14" i="4"/>
  <c r="P14" i="4"/>
  <c r="M15" i="4"/>
  <c r="N15" i="4"/>
  <c r="O15" i="4"/>
  <c r="P15" i="4"/>
  <c r="M16" i="4"/>
  <c r="N16" i="4"/>
  <c r="O16" i="4"/>
  <c r="P16" i="4"/>
  <c r="M17" i="4"/>
  <c r="N17" i="4"/>
  <c r="O17" i="4"/>
  <c r="P17" i="4"/>
  <c r="M18" i="4"/>
  <c r="N18" i="4"/>
  <c r="O18" i="4"/>
  <c r="P18" i="4"/>
  <c r="M19" i="4"/>
  <c r="N19" i="4"/>
  <c r="O19" i="4"/>
  <c r="P19" i="4"/>
  <c r="M20" i="4"/>
  <c r="N20" i="4"/>
  <c r="O20" i="4"/>
  <c r="P20" i="4"/>
  <c r="M21" i="4"/>
  <c r="N21" i="4"/>
  <c r="O21" i="4"/>
  <c r="P21" i="4"/>
  <c r="M22" i="4"/>
  <c r="N22" i="4"/>
  <c r="O22" i="4"/>
  <c r="P22" i="4"/>
  <c r="M23" i="4"/>
  <c r="N23" i="4"/>
  <c r="O23" i="4"/>
  <c r="P23" i="4"/>
  <c r="M24" i="4"/>
  <c r="N24" i="4"/>
  <c r="O24" i="4"/>
  <c r="P24" i="4"/>
  <c r="M25" i="4"/>
  <c r="N25" i="4"/>
  <c r="O25" i="4"/>
  <c r="P25" i="4"/>
  <c r="M26" i="4"/>
  <c r="N26" i="4"/>
  <c r="O26" i="4"/>
  <c r="P26" i="4"/>
  <c r="M27" i="4"/>
  <c r="N27" i="4"/>
  <c r="O27" i="4"/>
  <c r="P27" i="4"/>
  <c r="M28" i="4"/>
  <c r="N28" i="4"/>
  <c r="O28" i="4"/>
  <c r="P28" i="4"/>
  <c r="M29" i="4"/>
  <c r="N29" i="4"/>
  <c r="O29" i="4"/>
  <c r="P29" i="4"/>
  <c r="M30" i="4"/>
  <c r="N30" i="4"/>
  <c r="O30" i="4"/>
  <c r="P30" i="4"/>
  <c r="M31" i="4"/>
  <c r="N31" i="4"/>
  <c r="O31" i="4"/>
  <c r="P31" i="4"/>
  <c r="M32" i="4"/>
  <c r="N32" i="4"/>
  <c r="O32" i="4"/>
  <c r="P32" i="4"/>
  <c r="M33" i="4"/>
  <c r="N33" i="4"/>
  <c r="O33" i="4"/>
  <c r="P33" i="4"/>
  <c r="M34" i="4"/>
  <c r="N34" i="4"/>
  <c r="O34" i="4"/>
  <c r="P34" i="4"/>
  <c r="M35" i="4"/>
  <c r="N35" i="4"/>
  <c r="O35" i="4"/>
  <c r="P35" i="4"/>
  <c r="M36" i="4"/>
  <c r="N36" i="4"/>
  <c r="O36" i="4"/>
  <c r="P36" i="4"/>
  <c r="M37" i="4"/>
  <c r="N37" i="4"/>
  <c r="O37" i="4"/>
  <c r="P37" i="4"/>
  <c r="M38" i="4"/>
  <c r="N38" i="4"/>
  <c r="O38" i="4"/>
  <c r="P38" i="4"/>
  <c r="M39" i="4"/>
  <c r="N39" i="4"/>
  <c r="O39" i="4"/>
  <c r="P39" i="4"/>
  <c r="M40" i="4"/>
  <c r="N40" i="4"/>
  <c r="O40" i="4"/>
  <c r="P40" i="4"/>
  <c r="M41" i="4"/>
  <c r="N41" i="4"/>
  <c r="O41" i="4"/>
  <c r="P41" i="4"/>
  <c r="M42" i="4"/>
  <c r="N42" i="4"/>
  <c r="O42" i="4"/>
  <c r="P42" i="4"/>
  <c r="M43" i="4"/>
  <c r="N43" i="4"/>
  <c r="O43" i="4"/>
  <c r="P43" i="4"/>
  <c r="M44" i="4"/>
  <c r="N44" i="4"/>
  <c r="O44" i="4"/>
  <c r="P44" i="4"/>
  <c r="M45" i="4"/>
  <c r="N45" i="4"/>
  <c r="O45" i="4"/>
  <c r="P45" i="4"/>
  <c r="M46" i="4"/>
  <c r="N46" i="4"/>
  <c r="O46" i="4"/>
  <c r="P46" i="4"/>
  <c r="M47" i="4"/>
  <c r="N47" i="4"/>
  <c r="O47" i="4"/>
  <c r="P47" i="4"/>
  <c r="M48" i="4"/>
  <c r="N48" i="4"/>
  <c r="O48" i="4"/>
  <c r="P48" i="4"/>
  <c r="M49" i="4"/>
  <c r="N49" i="4"/>
  <c r="O49" i="4"/>
  <c r="P49" i="4"/>
  <c r="M50" i="4"/>
  <c r="N50" i="4"/>
  <c r="O50" i="4"/>
  <c r="P50" i="4"/>
  <c r="M51" i="4"/>
  <c r="N51" i="4"/>
  <c r="O51" i="4"/>
  <c r="P51" i="4"/>
  <c r="M52" i="4"/>
  <c r="N52" i="4"/>
  <c r="O52" i="4"/>
  <c r="P52" i="4"/>
  <c r="M53" i="4"/>
  <c r="N53" i="4"/>
  <c r="O53" i="4"/>
  <c r="P53" i="4"/>
  <c r="M54" i="4"/>
  <c r="N54" i="4"/>
  <c r="O54" i="4"/>
  <c r="P54" i="4"/>
  <c r="M55" i="4"/>
  <c r="N55" i="4"/>
  <c r="O55" i="4"/>
  <c r="P55" i="4"/>
  <c r="M56" i="4"/>
  <c r="N56" i="4"/>
  <c r="O56" i="4"/>
  <c r="P56" i="4"/>
  <c r="M57" i="4"/>
  <c r="N57" i="4"/>
  <c r="O57" i="4"/>
  <c r="P57" i="4"/>
  <c r="M58" i="4"/>
  <c r="N58" i="4"/>
  <c r="O58" i="4"/>
  <c r="P58" i="4"/>
  <c r="M59" i="4"/>
  <c r="N59" i="4"/>
  <c r="O59" i="4"/>
  <c r="P59" i="4"/>
  <c r="M60" i="4"/>
  <c r="N60" i="4"/>
  <c r="O60" i="4"/>
  <c r="P60" i="4"/>
  <c r="M61" i="4"/>
  <c r="N61" i="4"/>
  <c r="O61" i="4"/>
  <c r="P61" i="4"/>
  <c r="M62" i="4"/>
  <c r="N62" i="4"/>
  <c r="O62" i="4"/>
  <c r="P62" i="4"/>
  <c r="M63" i="4"/>
  <c r="N63" i="4"/>
  <c r="O63" i="4"/>
  <c r="P63" i="4"/>
  <c r="M64" i="4"/>
  <c r="N64" i="4"/>
  <c r="O64" i="4"/>
  <c r="P64" i="4"/>
  <c r="M65" i="4"/>
  <c r="N65" i="4"/>
  <c r="O65" i="4"/>
  <c r="P65" i="4"/>
  <c r="M66" i="4"/>
  <c r="N66" i="4"/>
  <c r="O66" i="4"/>
  <c r="P66" i="4"/>
  <c r="M67" i="4"/>
  <c r="N67" i="4"/>
  <c r="O67" i="4"/>
  <c r="P67" i="4"/>
  <c r="M68" i="4"/>
  <c r="N68" i="4"/>
  <c r="O68" i="4"/>
  <c r="P68" i="4"/>
  <c r="M69" i="4"/>
  <c r="N69" i="4"/>
  <c r="O69" i="4"/>
  <c r="P69" i="4"/>
  <c r="M70" i="4"/>
  <c r="N70" i="4"/>
  <c r="O70" i="4"/>
  <c r="P70" i="4"/>
  <c r="M71" i="4"/>
  <c r="N71" i="4"/>
  <c r="O71" i="4"/>
  <c r="P71" i="4"/>
  <c r="M72" i="4"/>
  <c r="N72" i="4"/>
  <c r="O72" i="4"/>
  <c r="P72" i="4"/>
  <c r="M73" i="4"/>
  <c r="N73" i="4"/>
  <c r="O73" i="4"/>
  <c r="P73" i="4"/>
  <c r="M74" i="4"/>
  <c r="N74" i="4"/>
  <c r="O74" i="4"/>
  <c r="P74" i="4"/>
  <c r="M75" i="4"/>
  <c r="N75" i="4"/>
  <c r="O75" i="4"/>
  <c r="P75" i="4"/>
  <c r="M76" i="4"/>
  <c r="N76" i="4"/>
  <c r="O76" i="4"/>
  <c r="P76" i="4"/>
  <c r="M77" i="4"/>
  <c r="N77" i="4"/>
  <c r="O77" i="4"/>
  <c r="P77" i="4"/>
  <c r="M78" i="4"/>
  <c r="N78" i="4"/>
  <c r="O78" i="4"/>
  <c r="P78" i="4"/>
  <c r="M79" i="4"/>
  <c r="N79" i="4"/>
  <c r="O79" i="4"/>
  <c r="P79" i="4"/>
  <c r="M80" i="4"/>
  <c r="N80" i="4"/>
  <c r="O80" i="4"/>
  <c r="P80" i="4"/>
  <c r="M81" i="4"/>
  <c r="N81" i="4"/>
  <c r="O81" i="4"/>
  <c r="P81" i="4"/>
  <c r="M82" i="4"/>
  <c r="N82" i="4"/>
  <c r="O82" i="4"/>
  <c r="P82" i="4"/>
  <c r="M83" i="4"/>
  <c r="N83" i="4"/>
  <c r="O83" i="4"/>
  <c r="P83" i="4"/>
  <c r="M84" i="4"/>
  <c r="N84" i="4"/>
  <c r="O84" i="4"/>
  <c r="P84" i="4"/>
  <c r="M85" i="4"/>
  <c r="N85" i="4"/>
  <c r="O85" i="4"/>
  <c r="P85" i="4"/>
  <c r="M86" i="4"/>
  <c r="N86" i="4"/>
  <c r="O86" i="4"/>
  <c r="P86" i="4"/>
  <c r="M87" i="4"/>
  <c r="N87" i="4"/>
  <c r="O87" i="4"/>
  <c r="P87" i="4"/>
  <c r="M88" i="4"/>
  <c r="N88" i="4"/>
  <c r="O88" i="4"/>
  <c r="P88" i="4"/>
  <c r="M89" i="4"/>
  <c r="N89" i="4"/>
  <c r="O89" i="4"/>
  <c r="P89" i="4"/>
  <c r="M90" i="4"/>
  <c r="N90" i="4"/>
  <c r="O90" i="4"/>
  <c r="P90" i="4"/>
  <c r="M91" i="4"/>
  <c r="N91" i="4"/>
  <c r="O91" i="4"/>
  <c r="P91" i="4"/>
  <c r="M2" i="3"/>
  <c r="N2" i="3"/>
  <c r="O2" i="3"/>
  <c r="P2" i="3"/>
  <c r="M3" i="3"/>
  <c r="N3" i="3"/>
  <c r="O3" i="3"/>
  <c r="P3" i="3"/>
  <c r="M4" i="3"/>
  <c r="N4" i="3"/>
  <c r="O4" i="3"/>
  <c r="P4" i="3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M11" i="3"/>
  <c r="N11" i="3"/>
  <c r="O11" i="3"/>
  <c r="P11" i="3"/>
  <c r="M12" i="3"/>
  <c r="N12" i="3"/>
  <c r="O12" i="3"/>
  <c r="P12" i="3"/>
  <c r="M13" i="3"/>
  <c r="N13" i="3"/>
  <c r="O13" i="3"/>
  <c r="P13" i="3"/>
  <c r="M14" i="3"/>
  <c r="N14" i="3"/>
  <c r="O14" i="3"/>
  <c r="P14" i="3"/>
  <c r="M15" i="3"/>
  <c r="N15" i="3"/>
  <c r="O15" i="3"/>
  <c r="P15" i="3"/>
  <c r="M16" i="3"/>
  <c r="N16" i="3"/>
  <c r="O16" i="3"/>
  <c r="P16" i="3"/>
  <c r="M17" i="3"/>
  <c r="N17" i="3"/>
  <c r="O17" i="3"/>
  <c r="P17" i="3"/>
  <c r="M18" i="3"/>
  <c r="N18" i="3"/>
  <c r="O18" i="3"/>
  <c r="P18" i="3"/>
  <c r="M19" i="3"/>
  <c r="N19" i="3"/>
  <c r="O19" i="3"/>
  <c r="P19" i="3"/>
  <c r="M20" i="3"/>
  <c r="N20" i="3"/>
  <c r="O20" i="3"/>
  <c r="P20" i="3"/>
  <c r="M21" i="3"/>
  <c r="N21" i="3"/>
  <c r="O21" i="3"/>
  <c r="P21" i="3"/>
  <c r="M22" i="3"/>
  <c r="N22" i="3"/>
  <c r="O22" i="3"/>
  <c r="P22" i="3"/>
  <c r="M23" i="3"/>
  <c r="N23" i="3"/>
  <c r="O23" i="3"/>
  <c r="P23" i="3"/>
  <c r="M24" i="3"/>
  <c r="N24" i="3"/>
  <c r="O24" i="3"/>
  <c r="P24" i="3"/>
  <c r="M25" i="3"/>
  <c r="N25" i="3"/>
  <c r="O25" i="3"/>
  <c r="P25" i="3"/>
  <c r="M26" i="3"/>
  <c r="N26" i="3"/>
  <c r="O26" i="3"/>
  <c r="P26" i="3"/>
  <c r="M27" i="3"/>
  <c r="N27" i="3"/>
  <c r="O27" i="3"/>
  <c r="P27" i="3"/>
  <c r="M28" i="3"/>
  <c r="N28" i="3"/>
  <c r="O28" i="3"/>
  <c r="P28" i="3"/>
  <c r="M29" i="3"/>
  <c r="N29" i="3"/>
  <c r="O29" i="3"/>
  <c r="P29" i="3"/>
  <c r="M30" i="3"/>
  <c r="N30" i="3"/>
  <c r="O30" i="3"/>
  <c r="P30" i="3"/>
  <c r="M31" i="3"/>
  <c r="N31" i="3"/>
  <c r="O31" i="3"/>
  <c r="P31" i="3"/>
  <c r="M32" i="3"/>
  <c r="N32" i="3"/>
  <c r="O32" i="3"/>
  <c r="P32" i="3"/>
  <c r="M33" i="3"/>
  <c r="N33" i="3"/>
  <c r="O33" i="3"/>
  <c r="P33" i="3"/>
  <c r="M34" i="3"/>
  <c r="N34" i="3"/>
  <c r="O34" i="3"/>
  <c r="P34" i="3"/>
  <c r="M35" i="3"/>
  <c r="N35" i="3"/>
  <c r="O35" i="3"/>
  <c r="P35" i="3"/>
  <c r="M36" i="3"/>
  <c r="N36" i="3"/>
  <c r="O36" i="3"/>
  <c r="P36" i="3"/>
  <c r="M37" i="3"/>
  <c r="N37" i="3"/>
  <c r="O37" i="3"/>
  <c r="P37" i="3"/>
  <c r="M38" i="3"/>
  <c r="N38" i="3"/>
  <c r="O38" i="3"/>
  <c r="P38" i="3"/>
  <c r="M39" i="3"/>
  <c r="N39" i="3"/>
  <c r="O39" i="3"/>
  <c r="P39" i="3"/>
  <c r="M40" i="3"/>
  <c r="N40" i="3"/>
  <c r="O40" i="3"/>
  <c r="P40" i="3"/>
  <c r="M41" i="3"/>
  <c r="N41" i="3"/>
  <c r="O41" i="3"/>
  <c r="P41" i="3"/>
  <c r="M42" i="3"/>
  <c r="N42" i="3"/>
  <c r="O42" i="3"/>
  <c r="P42" i="3"/>
  <c r="M43" i="3"/>
  <c r="N43" i="3"/>
  <c r="O43" i="3"/>
  <c r="P43" i="3"/>
  <c r="M44" i="3"/>
  <c r="N44" i="3"/>
  <c r="O44" i="3"/>
  <c r="P44" i="3"/>
  <c r="M45" i="3"/>
  <c r="N45" i="3"/>
  <c r="O45" i="3"/>
  <c r="P45" i="3"/>
  <c r="M46" i="3"/>
  <c r="N46" i="3"/>
  <c r="O46" i="3"/>
  <c r="P46" i="3"/>
  <c r="M47" i="3"/>
  <c r="N47" i="3"/>
  <c r="O47" i="3"/>
  <c r="P47" i="3"/>
  <c r="M48" i="3"/>
  <c r="N48" i="3"/>
  <c r="O48" i="3"/>
  <c r="P48" i="3"/>
  <c r="M49" i="3"/>
  <c r="N49" i="3"/>
  <c r="O49" i="3"/>
  <c r="P49" i="3"/>
  <c r="M50" i="3"/>
  <c r="N50" i="3"/>
  <c r="O50" i="3"/>
  <c r="P50" i="3"/>
  <c r="M51" i="3"/>
  <c r="N51" i="3"/>
  <c r="O51" i="3"/>
  <c r="P51" i="3"/>
  <c r="M52" i="3"/>
  <c r="N52" i="3"/>
  <c r="O52" i="3"/>
  <c r="P52" i="3"/>
  <c r="M53" i="3"/>
  <c r="N53" i="3"/>
  <c r="O53" i="3"/>
  <c r="P53" i="3"/>
  <c r="M54" i="3"/>
  <c r="N54" i="3"/>
  <c r="O54" i="3"/>
  <c r="P54" i="3"/>
  <c r="M55" i="3"/>
  <c r="N55" i="3"/>
  <c r="O55" i="3"/>
  <c r="P55" i="3"/>
  <c r="M56" i="3"/>
  <c r="N56" i="3"/>
  <c r="O56" i="3"/>
  <c r="P56" i="3"/>
  <c r="M57" i="3"/>
  <c r="N57" i="3"/>
  <c r="O57" i="3"/>
  <c r="P57" i="3"/>
  <c r="M58" i="3"/>
  <c r="N58" i="3"/>
  <c r="O58" i="3"/>
  <c r="P58" i="3"/>
  <c r="M59" i="3"/>
  <c r="N59" i="3"/>
  <c r="O59" i="3"/>
  <c r="P59" i="3"/>
  <c r="M60" i="3"/>
  <c r="N60" i="3"/>
  <c r="O60" i="3"/>
  <c r="P60" i="3"/>
  <c r="M61" i="3"/>
  <c r="N61" i="3"/>
  <c r="O61" i="3"/>
  <c r="P61" i="3"/>
  <c r="M62" i="3"/>
  <c r="N62" i="3"/>
  <c r="O62" i="3"/>
  <c r="P62" i="3"/>
  <c r="M63" i="3"/>
  <c r="N63" i="3"/>
  <c r="O63" i="3"/>
  <c r="P63" i="3"/>
  <c r="M64" i="3"/>
  <c r="N64" i="3"/>
  <c r="O64" i="3"/>
  <c r="P64" i="3"/>
  <c r="M65" i="3"/>
  <c r="N65" i="3"/>
  <c r="O65" i="3"/>
  <c r="P65" i="3"/>
  <c r="M66" i="3"/>
  <c r="N66" i="3"/>
  <c r="O66" i="3"/>
  <c r="P66" i="3"/>
  <c r="M67" i="3"/>
  <c r="N67" i="3"/>
  <c r="O67" i="3"/>
  <c r="P67" i="3"/>
  <c r="M68" i="3"/>
  <c r="N68" i="3"/>
  <c r="O68" i="3"/>
  <c r="P68" i="3"/>
  <c r="M69" i="3"/>
  <c r="N69" i="3"/>
  <c r="O69" i="3"/>
  <c r="P69" i="3"/>
  <c r="M70" i="3"/>
  <c r="N70" i="3"/>
  <c r="O70" i="3"/>
  <c r="P70" i="3"/>
  <c r="M71" i="3"/>
  <c r="N71" i="3"/>
  <c r="O71" i="3"/>
  <c r="P71" i="3"/>
  <c r="M72" i="3"/>
  <c r="N72" i="3"/>
  <c r="O72" i="3"/>
  <c r="P72" i="3"/>
  <c r="M73" i="3"/>
  <c r="N73" i="3"/>
  <c r="O73" i="3"/>
  <c r="P73" i="3"/>
  <c r="M74" i="3"/>
  <c r="N74" i="3"/>
  <c r="O74" i="3"/>
  <c r="P74" i="3"/>
  <c r="M75" i="3"/>
  <c r="N75" i="3"/>
  <c r="O75" i="3"/>
  <c r="P75" i="3"/>
  <c r="M76" i="3"/>
  <c r="N76" i="3"/>
  <c r="O76" i="3"/>
  <c r="P76" i="3"/>
  <c r="M77" i="3"/>
  <c r="N77" i="3"/>
  <c r="O77" i="3"/>
  <c r="P77" i="3"/>
  <c r="M78" i="3"/>
  <c r="N78" i="3"/>
  <c r="O78" i="3"/>
  <c r="P78" i="3"/>
  <c r="M79" i="3"/>
  <c r="N79" i="3"/>
  <c r="O79" i="3"/>
  <c r="P79" i="3"/>
  <c r="M80" i="3"/>
  <c r="N80" i="3"/>
  <c r="O80" i="3"/>
  <c r="P80" i="3"/>
  <c r="M81" i="3"/>
  <c r="N81" i="3"/>
  <c r="O81" i="3"/>
  <c r="P81" i="3"/>
  <c r="M82" i="3"/>
  <c r="N82" i="3"/>
  <c r="O82" i="3"/>
  <c r="P82" i="3"/>
  <c r="M83" i="3"/>
  <c r="N83" i="3"/>
  <c r="O83" i="3"/>
  <c r="P83" i="3"/>
  <c r="M84" i="3"/>
  <c r="N84" i="3"/>
  <c r="O84" i="3"/>
  <c r="P84" i="3"/>
  <c r="M85" i="3"/>
  <c r="N85" i="3"/>
  <c r="O85" i="3"/>
  <c r="P85" i="3"/>
  <c r="M86" i="3"/>
  <c r="N86" i="3"/>
  <c r="O86" i="3"/>
  <c r="P86" i="3"/>
  <c r="M87" i="3"/>
  <c r="N87" i="3"/>
  <c r="O87" i="3"/>
  <c r="P87" i="3"/>
  <c r="M88" i="3"/>
  <c r="N88" i="3"/>
  <c r="O88" i="3"/>
  <c r="P88" i="3"/>
  <c r="M89" i="3"/>
  <c r="N89" i="3"/>
  <c r="O89" i="3"/>
  <c r="P89" i="3"/>
  <c r="M90" i="3"/>
  <c r="N90" i="3"/>
  <c r="O90" i="3"/>
  <c r="P90" i="3"/>
  <c r="M91" i="3"/>
  <c r="N91" i="3"/>
  <c r="O91" i="3"/>
  <c r="P91" i="3"/>
  <c r="M2" i="2"/>
  <c r="N2" i="2"/>
  <c r="O2" i="2"/>
  <c r="P2" i="2"/>
  <c r="M3" i="2"/>
  <c r="N3" i="2"/>
  <c r="O3" i="2"/>
  <c r="P3" i="2"/>
  <c r="M4" i="2"/>
  <c r="N4" i="2"/>
  <c r="O4" i="2"/>
  <c r="P4" i="2"/>
  <c r="M5" i="2"/>
  <c r="N5" i="2"/>
  <c r="O5" i="2"/>
  <c r="P5" i="2"/>
  <c r="M6" i="2"/>
  <c r="N6" i="2"/>
  <c r="O6" i="2"/>
  <c r="P6" i="2"/>
  <c r="M7" i="2"/>
  <c r="N7" i="2"/>
  <c r="O7" i="2"/>
  <c r="P7" i="2"/>
  <c r="M8" i="2"/>
  <c r="N8" i="2"/>
  <c r="O8" i="2"/>
  <c r="P8" i="2"/>
  <c r="M9" i="2"/>
  <c r="N9" i="2"/>
  <c r="O9" i="2"/>
  <c r="P9" i="2"/>
  <c r="M10" i="2"/>
  <c r="N10" i="2"/>
  <c r="O10" i="2"/>
  <c r="P10" i="2"/>
  <c r="M11" i="2"/>
  <c r="N11" i="2"/>
  <c r="O11" i="2"/>
  <c r="P11" i="2"/>
  <c r="M12" i="2"/>
  <c r="N12" i="2"/>
  <c r="O12" i="2"/>
  <c r="P12" i="2"/>
  <c r="M13" i="2"/>
  <c r="N13" i="2"/>
  <c r="O13" i="2"/>
  <c r="P13" i="2"/>
  <c r="M14" i="2"/>
  <c r="N14" i="2"/>
  <c r="O14" i="2"/>
  <c r="P14" i="2"/>
  <c r="M15" i="2"/>
  <c r="N15" i="2"/>
  <c r="O15" i="2"/>
  <c r="P15" i="2"/>
  <c r="M16" i="2"/>
  <c r="N16" i="2"/>
  <c r="O16" i="2"/>
  <c r="P16" i="2"/>
  <c r="M17" i="2"/>
  <c r="N17" i="2"/>
  <c r="O17" i="2"/>
  <c r="P17" i="2"/>
  <c r="M18" i="2"/>
  <c r="N18" i="2"/>
  <c r="O18" i="2"/>
  <c r="P18" i="2"/>
  <c r="M19" i="2"/>
  <c r="N19" i="2"/>
  <c r="O19" i="2"/>
  <c r="P19" i="2"/>
  <c r="M20" i="2"/>
  <c r="N20" i="2"/>
  <c r="O20" i="2"/>
  <c r="P20" i="2"/>
  <c r="M21" i="2"/>
  <c r="N21" i="2"/>
  <c r="O21" i="2"/>
  <c r="P21" i="2"/>
  <c r="M22" i="2"/>
  <c r="N22" i="2"/>
  <c r="O22" i="2"/>
  <c r="P22" i="2"/>
  <c r="M23" i="2"/>
  <c r="N23" i="2"/>
  <c r="O23" i="2"/>
  <c r="P23" i="2"/>
  <c r="M24" i="2"/>
  <c r="N24" i="2"/>
  <c r="O24" i="2"/>
  <c r="P24" i="2"/>
  <c r="M25" i="2"/>
  <c r="N25" i="2"/>
  <c r="O25" i="2"/>
  <c r="P25" i="2"/>
  <c r="M26" i="2"/>
  <c r="N26" i="2"/>
  <c r="O26" i="2"/>
  <c r="P26" i="2"/>
  <c r="M27" i="2"/>
  <c r="N27" i="2"/>
  <c r="O27" i="2"/>
  <c r="P27" i="2"/>
  <c r="M28" i="2"/>
  <c r="N28" i="2"/>
  <c r="O28" i="2"/>
  <c r="P28" i="2"/>
  <c r="M29" i="2"/>
  <c r="N29" i="2"/>
  <c r="O29" i="2"/>
  <c r="P29" i="2"/>
  <c r="M30" i="2"/>
  <c r="N30" i="2"/>
  <c r="O30" i="2"/>
  <c r="P30" i="2"/>
  <c r="M31" i="2"/>
  <c r="N31" i="2"/>
  <c r="O31" i="2"/>
  <c r="P31" i="2"/>
  <c r="M32" i="2"/>
  <c r="N32" i="2"/>
  <c r="O32" i="2"/>
  <c r="P32" i="2"/>
  <c r="M33" i="2"/>
  <c r="N33" i="2"/>
  <c r="O33" i="2"/>
  <c r="P33" i="2"/>
  <c r="M34" i="2"/>
  <c r="N34" i="2"/>
  <c r="O34" i="2"/>
  <c r="P34" i="2"/>
  <c r="M35" i="2"/>
  <c r="N35" i="2"/>
  <c r="O35" i="2"/>
  <c r="P35" i="2"/>
  <c r="M36" i="2"/>
  <c r="N36" i="2"/>
  <c r="O36" i="2"/>
  <c r="P36" i="2"/>
  <c r="M37" i="2"/>
  <c r="N37" i="2"/>
  <c r="O37" i="2"/>
  <c r="P37" i="2"/>
  <c r="M38" i="2"/>
  <c r="N38" i="2"/>
  <c r="O38" i="2"/>
  <c r="P38" i="2"/>
  <c r="M39" i="2"/>
  <c r="N39" i="2"/>
  <c r="O39" i="2"/>
  <c r="P39" i="2"/>
  <c r="M40" i="2"/>
  <c r="N40" i="2"/>
  <c r="O40" i="2"/>
  <c r="P40" i="2"/>
  <c r="M41" i="2"/>
  <c r="N41" i="2"/>
  <c r="O41" i="2"/>
  <c r="P41" i="2"/>
  <c r="M42" i="2"/>
  <c r="N42" i="2"/>
  <c r="O42" i="2"/>
  <c r="P42" i="2"/>
  <c r="M43" i="2"/>
  <c r="N43" i="2"/>
  <c r="O43" i="2"/>
  <c r="P43" i="2"/>
  <c r="M44" i="2"/>
  <c r="N44" i="2"/>
  <c r="O44" i="2"/>
  <c r="P44" i="2"/>
  <c r="M45" i="2"/>
  <c r="N45" i="2"/>
  <c r="O45" i="2"/>
  <c r="P45" i="2"/>
  <c r="M46" i="2"/>
  <c r="N46" i="2"/>
  <c r="O46" i="2"/>
  <c r="P46" i="2"/>
  <c r="M47" i="2"/>
  <c r="N47" i="2"/>
  <c r="O47" i="2"/>
  <c r="P47" i="2"/>
  <c r="M48" i="2"/>
  <c r="N48" i="2"/>
  <c r="O48" i="2"/>
  <c r="P48" i="2"/>
  <c r="M49" i="2"/>
  <c r="N49" i="2"/>
  <c r="O49" i="2"/>
  <c r="P49" i="2"/>
  <c r="M50" i="2"/>
  <c r="N50" i="2"/>
  <c r="O50" i="2"/>
  <c r="P50" i="2"/>
  <c r="M51" i="2"/>
  <c r="N51" i="2"/>
  <c r="O51" i="2"/>
  <c r="P51" i="2"/>
  <c r="M52" i="2"/>
  <c r="N52" i="2"/>
  <c r="O52" i="2"/>
  <c r="P52" i="2"/>
  <c r="M53" i="2"/>
  <c r="N53" i="2"/>
  <c r="O53" i="2"/>
  <c r="P53" i="2"/>
  <c r="M54" i="2"/>
  <c r="N54" i="2"/>
  <c r="O54" i="2"/>
  <c r="P54" i="2"/>
  <c r="M55" i="2"/>
  <c r="N55" i="2"/>
  <c r="O55" i="2"/>
  <c r="P55" i="2"/>
  <c r="M56" i="2"/>
  <c r="N56" i="2"/>
  <c r="O56" i="2"/>
  <c r="P56" i="2"/>
  <c r="M57" i="2"/>
  <c r="N57" i="2"/>
  <c r="O57" i="2"/>
  <c r="P57" i="2"/>
  <c r="M58" i="2"/>
  <c r="N58" i="2"/>
  <c r="O58" i="2"/>
  <c r="P58" i="2"/>
  <c r="M59" i="2"/>
  <c r="N59" i="2"/>
  <c r="O59" i="2"/>
  <c r="P59" i="2"/>
  <c r="M60" i="2"/>
  <c r="N60" i="2"/>
  <c r="O60" i="2"/>
  <c r="P60" i="2"/>
  <c r="M61" i="2"/>
  <c r="N61" i="2"/>
  <c r="O61" i="2"/>
  <c r="P61" i="2"/>
  <c r="M62" i="2"/>
  <c r="N62" i="2"/>
  <c r="O62" i="2"/>
  <c r="P62" i="2"/>
  <c r="M63" i="2"/>
  <c r="N63" i="2"/>
  <c r="O63" i="2"/>
  <c r="P63" i="2"/>
  <c r="M64" i="2"/>
  <c r="N64" i="2"/>
  <c r="O64" i="2"/>
  <c r="P64" i="2"/>
  <c r="M65" i="2"/>
  <c r="N65" i="2"/>
  <c r="O65" i="2"/>
  <c r="P65" i="2"/>
  <c r="M66" i="2"/>
  <c r="N66" i="2"/>
  <c r="O66" i="2"/>
  <c r="P66" i="2"/>
  <c r="M67" i="2"/>
  <c r="N67" i="2"/>
  <c r="O67" i="2"/>
  <c r="P67" i="2"/>
  <c r="M68" i="2"/>
  <c r="N68" i="2"/>
  <c r="O68" i="2"/>
  <c r="P68" i="2"/>
  <c r="M69" i="2"/>
  <c r="N69" i="2"/>
  <c r="O69" i="2"/>
  <c r="P69" i="2"/>
  <c r="M70" i="2"/>
  <c r="N70" i="2"/>
  <c r="O70" i="2"/>
  <c r="P70" i="2"/>
  <c r="M71" i="2"/>
  <c r="N71" i="2"/>
  <c r="O71" i="2"/>
  <c r="P71" i="2"/>
  <c r="M72" i="2"/>
  <c r="N72" i="2"/>
  <c r="O72" i="2"/>
  <c r="P72" i="2"/>
  <c r="M73" i="2"/>
  <c r="N73" i="2"/>
  <c r="O73" i="2"/>
  <c r="P73" i="2"/>
  <c r="M74" i="2"/>
  <c r="N74" i="2"/>
  <c r="O74" i="2"/>
  <c r="P74" i="2"/>
  <c r="M75" i="2"/>
  <c r="N75" i="2"/>
  <c r="O75" i="2"/>
  <c r="P75" i="2"/>
  <c r="M76" i="2"/>
  <c r="N76" i="2"/>
  <c r="O76" i="2"/>
  <c r="P76" i="2"/>
  <c r="M77" i="2"/>
  <c r="N77" i="2"/>
  <c r="O77" i="2"/>
  <c r="P77" i="2"/>
  <c r="M78" i="2"/>
  <c r="N78" i="2"/>
  <c r="O78" i="2"/>
  <c r="P78" i="2"/>
  <c r="M79" i="2"/>
  <c r="N79" i="2"/>
  <c r="O79" i="2"/>
  <c r="P79" i="2"/>
  <c r="M80" i="2"/>
  <c r="N80" i="2"/>
  <c r="O80" i="2"/>
  <c r="P80" i="2"/>
  <c r="M81" i="2"/>
  <c r="N81" i="2"/>
  <c r="O81" i="2"/>
  <c r="P81" i="2"/>
  <c r="M82" i="2"/>
  <c r="N82" i="2"/>
  <c r="O82" i="2"/>
  <c r="P82" i="2"/>
  <c r="M83" i="2"/>
  <c r="N83" i="2"/>
  <c r="O83" i="2"/>
  <c r="P83" i="2"/>
  <c r="M84" i="2"/>
  <c r="N84" i="2"/>
  <c r="O84" i="2"/>
  <c r="P84" i="2"/>
  <c r="M85" i="2"/>
  <c r="N85" i="2"/>
  <c r="O85" i="2"/>
  <c r="P85" i="2"/>
  <c r="M86" i="2"/>
  <c r="N86" i="2"/>
  <c r="O86" i="2"/>
  <c r="P86" i="2"/>
  <c r="M87" i="2"/>
  <c r="N87" i="2"/>
  <c r="O87" i="2"/>
  <c r="P87" i="2"/>
  <c r="M88" i="2"/>
  <c r="N88" i="2"/>
  <c r="O88" i="2"/>
  <c r="P88" i="2"/>
  <c r="M89" i="2"/>
  <c r="N89" i="2"/>
  <c r="O89" i="2"/>
  <c r="P89" i="2"/>
  <c r="M90" i="2"/>
  <c r="N90" i="2"/>
  <c r="O90" i="2"/>
  <c r="P90" i="2"/>
  <c r="M91" i="2"/>
  <c r="N91" i="2"/>
  <c r="O91" i="2"/>
  <c r="P91" i="2"/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M2" i="1"/>
  <c r="N2" i="1"/>
  <c r="O2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</calcChain>
</file>

<file path=xl/sharedStrings.xml><?xml version="1.0" encoding="utf-8"?>
<sst xmlns="http://schemas.openxmlformats.org/spreadsheetml/2006/main" count="5889" uniqueCount="376">
  <si>
    <t>Mission Alignment</t>
  </si>
  <si>
    <t>Readiness Support</t>
  </si>
  <si>
    <t>Operational Cost</t>
  </si>
  <si>
    <t>Severity</t>
  </si>
  <si>
    <t>-</t>
  </si>
  <si>
    <t>MA</t>
  </si>
  <si>
    <t>READ</t>
  </si>
  <si>
    <t>OP</t>
  </si>
  <si>
    <t>SEV</t>
  </si>
  <si>
    <t>PNO</t>
  </si>
  <si>
    <t>P1002</t>
  </si>
  <si>
    <t>P1009</t>
  </si>
  <si>
    <t>P1010</t>
  </si>
  <si>
    <t>P1016</t>
  </si>
  <si>
    <t>P1018</t>
  </si>
  <si>
    <t>P1019</t>
  </si>
  <si>
    <t>P1041</t>
  </si>
  <si>
    <t>P1055</t>
  </si>
  <si>
    <t>P1089</t>
  </si>
  <si>
    <t>P1291</t>
  </si>
  <si>
    <t>P1299</t>
  </si>
  <si>
    <t>P1300</t>
  </si>
  <si>
    <t>P1340</t>
  </si>
  <si>
    <t>P1416</t>
  </si>
  <si>
    <t>P1430</t>
  </si>
  <si>
    <t>P1538</t>
  </si>
  <si>
    <t>P1547</t>
  </si>
  <si>
    <t>P1553</t>
  </si>
  <si>
    <t>P1554</t>
  </si>
  <si>
    <t>P1557</t>
  </si>
  <si>
    <t>P1616</t>
  </si>
  <si>
    <t>P1942</t>
  </si>
  <si>
    <t>UIC</t>
  </si>
  <si>
    <t>Title</t>
  </si>
  <si>
    <t>Installation</t>
  </si>
  <si>
    <t>MCON</t>
  </si>
  <si>
    <t>N68436P817</t>
  </si>
  <si>
    <t>N68436</t>
  </si>
  <si>
    <t>P817</t>
  </si>
  <si>
    <t>Columbia Submarine Repair Facility Expansion</t>
  </si>
  <si>
    <t>NAVAL BASE KITSAP BREMERTON WA (BANGOR WA)</t>
  </si>
  <si>
    <t>N61755P835</t>
  </si>
  <si>
    <t>N61755</t>
  </si>
  <si>
    <t>P835</t>
  </si>
  <si>
    <t>Lima Wharf and Inner Apra Harbor Dredging</t>
  </si>
  <si>
    <t>NAVBASE GUAM</t>
  </si>
  <si>
    <t>N00245P900</t>
  </si>
  <si>
    <t>N00245</t>
  </si>
  <si>
    <t>P900</t>
  </si>
  <si>
    <t>Fire Station Headquarters</t>
  </si>
  <si>
    <t>NAVBASE SAN DIEGO</t>
  </si>
  <si>
    <t>N68436P434</t>
  </si>
  <si>
    <t>P434</t>
  </si>
  <si>
    <t>SBSD/CLB Regional Persicope and Photonics Mast Repair Center</t>
  </si>
  <si>
    <t>N61755P818</t>
  </si>
  <si>
    <t>P818</t>
  </si>
  <si>
    <t>Submarine Intermediate Maintenance Facility, Phase 1 (IMF &amp; Utility Bldg)</t>
  </si>
  <si>
    <t>N61755P851</t>
  </si>
  <si>
    <t>P851</t>
  </si>
  <si>
    <t>Submarine Intermediate Maintenance Facility (Phase 2)</t>
  </si>
  <si>
    <t>N61755P852</t>
  </si>
  <si>
    <t>P852</t>
  </si>
  <si>
    <t>Submarine Intermediate Maintenance Facility (Phase 3)</t>
  </si>
  <si>
    <t>N00129P467</t>
  </si>
  <si>
    <t>N00129</t>
  </si>
  <si>
    <t>P467</t>
  </si>
  <si>
    <t>Pier 33 Reconstruction</t>
  </si>
  <si>
    <t>NAVSUBASE NEW LONDON CT</t>
  </si>
  <si>
    <t>NC1002P309</t>
  </si>
  <si>
    <t>NC1002</t>
  </si>
  <si>
    <t>P309</t>
  </si>
  <si>
    <t>EDI: P-8A Hangar &amp; Airfield Pavement Improvement</t>
  </si>
  <si>
    <t>Z/VARLOCS</t>
  </si>
  <si>
    <t>N61007P110</t>
  </si>
  <si>
    <t>N61007</t>
  </si>
  <si>
    <t>P110</t>
  </si>
  <si>
    <t>Cape Railhead</t>
  </si>
  <si>
    <t>NAVAL SUPPORT ACTIVITY ORLANDO</t>
  </si>
  <si>
    <t>N68436P832</t>
  </si>
  <si>
    <t>P832</t>
  </si>
  <si>
    <t>CVN Aircraft Carrier Propulsion Trainer Addition</t>
  </si>
  <si>
    <t>NAVAL BASE KITSAP BREMERTON WA</t>
  </si>
  <si>
    <t>N68436P818</t>
  </si>
  <si>
    <t>Columbia Submarine Trident Training Facility Expansion</t>
  </si>
  <si>
    <t>N62813P1018</t>
  </si>
  <si>
    <t>N62813</t>
  </si>
  <si>
    <t>LSM Ship Berthing Wharf Improvements Foxtrot 12/13</t>
  </si>
  <si>
    <t>JBPHH PEARL HARBOR HI</t>
  </si>
  <si>
    <t>N00129P1553</t>
  </si>
  <si>
    <t>SSN Drydock Pier 15</t>
  </si>
  <si>
    <t>N47608P563</t>
  </si>
  <si>
    <t>N47608</t>
  </si>
  <si>
    <t>P563</t>
  </si>
  <si>
    <t>VX-23 RDT&amp;E Hangar</t>
  </si>
  <si>
    <t>NAVAL AIR STATION PAX RIVER</t>
  </si>
  <si>
    <t>N68436P788</t>
  </si>
  <si>
    <t>P788</t>
  </si>
  <si>
    <t>SBSD/CLB Trident Refit Facility Warehouse</t>
  </si>
  <si>
    <t>N32443P1538</t>
  </si>
  <si>
    <t>N32443</t>
  </si>
  <si>
    <t>Distribution Substations &amp; Cable Replacement</t>
  </si>
  <si>
    <t>NAVAL SUPPORT STATION NRFK NSY</t>
  </si>
  <si>
    <t>N42237P685</t>
  </si>
  <si>
    <t>N42237</t>
  </si>
  <si>
    <t>P685</t>
  </si>
  <si>
    <t>Missile Assembly Building 3</t>
  </si>
  <si>
    <t>SUBASE KINGS BAY GA</t>
  </si>
  <si>
    <t>N62813P1009</t>
  </si>
  <si>
    <t>FSBS Transmitter Building</t>
  </si>
  <si>
    <t>N69212P1299</t>
  </si>
  <si>
    <t>N69212</t>
  </si>
  <si>
    <t>Pier CAD-A Electrical Resilience Upgrade to 35KV</t>
  </si>
  <si>
    <t>NAVAL WEAPONS STATION YORKTOWN</t>
  </si>
  <si>
    <t>N42237P692</t>
  </si>
  <si>
    <t>P692</t>
  </si>
  <si>
    <t>Limited Area Standby Generator Plant and Facility</t>
  </si>
  <si>
    <t>N69232P028</t>
  </si>
  <si>
    <t>N69232</t>
  </si>
  <si>
    <t>P028</t>
  </si>
  <si>
    <t>MQ-25 Aircraft Parking Apron</t>
  </si>
  <si>
    <t>NAVBASE VENTURA CTY PT MUGU CA</t>
  </si>
  <si>
    <t>N60191P1547</t>
  </si>
  <si>
    <t>N60191</t>
  </si>
  <si>
    <t>Install Maritime Surveillance N+1 C5I Communication</t>
  </si>
  <si>
    <t>NAS OCEANA VA</t>
  </si>
  <si>
    <t>N62588P309</t>
  </si>
  <si>
    <t>N62588</t>
  </si>
  <si>
    <t>Satellite Communications Facility</t>
  </si>
  <si>
    <t>NAVSUPPACT NAPLES IT (LAGO PATRIA)</t>
  </si>
  <si>
    <t>N63005P224</t>
  </si>
  <si>
    <t>N63005</t>
  </si>
  <si>
    <t>P224</t>
  </si>
  <si>
    <t>P-8A Clear Water Rinse System (CWRS)</t>
  </si>
  <si>
    <t>NAVSUPPACT BAHRAIN</t>
  </si>
  <si>
    <t>N61755P825</t>
  </si>
  <si>
    <t>P825</t>
  </si>
  <si>
    <t>Primary Unit Substation</t>
  </si>
  <si>
    <t>US NAVSUPPACT MCB GUAM</t>
  </si>
  <si>
    <t>N62863P650</t>
  </si>
  <si>
    <t>N62863</t>
  </si>
  <si>
    <t>P650</t>
  </si>
  <si>
    <t>CIAT and ATET SCS Training Facility</t>
  </si>
  <si>
    <t>NAVSTA ROTA SP</t>
  </si>
  <si>
    <t>N62813P1010</t>
  </si>
  <si>
    <t>SATCOM Facility</t>
  </si>
  <si>
    <t>N68967P152</t>
  </si>
  <si>
    <t>N68967</t>
  </si>
  <si>
    <t>P152</t>
  </si>
  <si>
    <t>Combat Systems Advanced Operational Trainer</t>
  </si>
  <si>
    <t>NAVSTA EVERETT WA</t>
  </si>
  <si>
    <t>N68436P899</t>
  </si>
  <si>
    <t>P899</t>
  </si>
  <si>
    <t xml:space="preserve">Unmanned Undersea Vehicle Squadron Headquarters </t>
  </si>
  <si>
    <t>N00207P680</t>
  </si>
  <si>
    <t>N00207</t>
  </si>
  <si>
    <t>P680</t>
  </si>
  <si>
    <t>P-8A Aircraft Maintenance Hangar</t>
  </si>
  <si>
    <t>NAS JACKSONVILLE FL</t>
  </si>
  <si>
    <t>N47608P460</t>
  </si>
  <si>
    <t>P460</t>
  </si>
  <si>
    <t>HQ/PEO Secure IPT Facility</t>
  </si>
  <si>
    <t>N69212P1291</t>
  </si>
  <si>
    <t>Shore Power for Virginia Class Submarines</t>
  </si>
  <si>
    <t>N00620P276</t>
  </si>
  <si>
    <t>N00620</t>
  </si>
  <si>
    <t>P276</t>
  </si>
  <si>
    <t>NAS WHIDBEY ISLAND WA</t>
  </si>
  <si>
    <t>N68436P932</t>
  </si>
  <si>
    <t>P932</t>
  </si>
  <si>
    <t>Transit Protection Small Craft Berthing &amp; Fuel Facilities</t>
  </si>
  <si>
    <t>N62688P1554</t>
  </si>
  <si>
    <t>N62688</t>
  </si>
  <si>
    <t>Joint SCI / SAP Facility</t>
  </si>
  <si>
    <t>NAVSTA NORFOLK VA</t>
  </si>
  <si>
    <t>N33355P778</t>
  </si>
  <si>
    <t>N33355</t>
  </si>
  <si>
    <t>P778</t>
  </si>
  <si>
    <t>Hospital Fire Station</t>
  </si>
  <si>
    <t>NAVSUPPACT BETHESDA MD</t>
  </si>
  <si>
    <t>N00204P810</t>
  </si>
  <si>
    <t>N00204</t>
  </si>
  <si>
    <t>P810</t>
  </si>
  <si>
    <t>Hurricane Restoration Consolidated Hangar</t>
  </si>
  <si>
    <t>NAS PENSACOLA FL</t>
  </si>
  <si>
    <t>MCNR</t>
  </si>
  <si>
    <t>N00620P272</t>
  </si>
  <si>
    <t>P272</t>
  </si>
  <si>
    <t>P-8A Aircraft Reserve Hangar</t>
  </si>
  <si>
    <t>N62688P1416</t>
  </si>
  <si>
    <t>Pier 14 Power Upgrades</t>
  </si>
  <si>
    <t>N68436P823</t>
  </si>
  <si>
    <t>P823</t>
  </si>
  <si>
    <t>Alternate Power Transmission Line</t>
  </si>
  <si>
    <t>N68436P551</t>
  </si>
  <si>
    <t>P551</t>
  </si>
  <si>
    <t>Maritime Surveillance System Facility</t>
  </si>
  <si>
    <t>N68436P789</t>
  </si>
  <si>
    <t>P789</t>
  </si>
  <si>
    <t>SBSD Trident Refit Marine Maintenance Shop Expansion</t>
  </si>
  <si>
    <t>N62863P912</t>
  </si>
  <si>
    <t>P912</t>
  </si>
  <si>
    <t>Shore to Ship Electrical Substations</t>
  </si>
  <si>
    <t>N68436P938</t>
  </si>
  <si>
    <t>P938</t>
  </si>
  <si>
    <t>D5 Missile Magazines</t>
  </si>
  <si>
    <t>N62813P1019</t>
  </si>
  <si>
    <t>Landing Craft Ramp</t>
  </si>
  <si>
    <t>N62688P1340</t>
  </si>
  <si>
    <t>Child Development Center</t>
  </si>
  <si>
    <t>N60201P225</t>
  </si>
  <si>
    <t>N60201</t>
  </si>
  <si>
    <t>P225</t>
  </si>
  <si>
    <t>Bravo/Charlie Voltage Regulator Substation</t>
  </si>
  <si>
    <t>NAVSTA MAYPORT FL</t>
  </si>
  <si>
    <t>N62863P1616</t>
  </si>
  <si>
    <t>UH BEQ for Perm Party</t>
  </si>
  <si>
    <t>N69232P574</t>
  </si>
  <si>
    <t>P574</t>
  </si>
  <si>
    <t>N32446P1557</t>
  </si>
  <si>
    <t>N32446</t>
  </si>
  <si>
    <t>Lodging, Barracks, Galley &amp; Parking</t>
  </si>
  <si>
    <t>NSS  PORTSMOUTH NAVY SHIPYARD</t>
  </si>
  <si>
    <t>N63005P222</t>
  </si>
  <si>
    <t>P222</t>
  </si>
  <si>
    <t>Unaccompanied Housing (Phase 1)</t>
  </si>
  <si>
    <t>N47608P992</t>
  </si>
  <si>
    <t>P992</t>
  </si>
  <si>
    <t>Airfield Security Upgrades</t>
  </si>
  <si>
    <t>N61054P041</t>
  </si>
  <si>
    <t>N61054</t>
  </si>
  <si>
    <t>P041</t>
  </si>
  <si>
    <t>Small Craft Berth</t>
  </si>
  <si>
    <t>COMFLEACT YOKOSUKA JA</t>
  </si>
  <si>
    <t>N00216P501</t>
  </si>
  <si>
    <t>N00216</t>
  </si>
  <si>
    <t>P501</t>
  </si>
  <si>
    <t>Consolidated Child Development/Youth Center&amp;School Age Care</t>
  </si>
  <si>
    <t>NAS CORPUS CHRISTI TX</t>
  </si>
  <si>
    <t>N00246P1089</t>
  </si>
  <si>
    <t>N00246</t>
  </si>
  <si>
    <t>Installation Hazmat Center</t>
  </si>
  <si>
    <t>NAVBASE CORONADO SAN DIEGO CA</t>
  </si>
  <si>
    <t>N62813P1002</t>
  </si>
  <si>
    <t>USINDOPACOM Pacific Warfighting Center Expansion</t>
  </si>
  <si>
    <t>N32411P079</t>
  </si>
  <si>
    <t>N32411</t>
  </si>
  <si>
    <t>P079</t>
  </si>
  <si>
    <t>Next Generation Secure Submarine Platform Facility</t>
  </si>
  <si>
    <t>NAVAL STATION NEWPORT RI</t>
  </si>
  <si>
    <t>N69212P1300</t>
  </si>
  <si>
    <t xml:space="preserve">Land Acquisition of Drug Detection Transmitter Site </t>
  </si>
  <si>
    <t>N32446P317</t>
  </si>
  <si>
    <t>P317</t>
  </si>
  <si>
    <t>N32411P1016</t>
  </si>
  <si>
    <t>Consolidated RDT&amp;E Systems Facility</t>
  </si>
  <si>
    <t>N00246P1055</t>
  </si>
  <si>
    <t>Student Barracks</t>
  </si>
  <si>
    <t>N61057P227</t>
  </si>
  <si>
    <t>N61057</t>
  </si>
  <si>
    <t>P227</t>
  </si>
  <si>
    <t>Main Gate Entry Control Facility Improvement</t>
  </si>
  <si>
    <t>NAF ATSUGI JA</t>
  </si>
  <si>
    <t>N60508P279</t>
  </si>
  <si>
    <t>N60508</t>
  </si>
  <si>
    <t>P279</t>
  </si>
  <si>
    <t>NAS WHITING FLD MILTON FL</t>
  </si>
  <si>
    <t>N61008P508</t>
  </si>
  <si>
    <t>N61008</t>
  </si>
  <si>
    <t>P508</t>
  </si>
  <si>
    <t>Joint Diver A-School Dormitory</t>
  </si>
  <si>
    <t>NAVAL SUPPORT ACTY PANAMA CITY</t>
  </si>
  <si>
    <t>N61152P1942</t>
  </si>
  <si>
    <t>N61152</t>
  </si>
  <si>
    <t>Resilience Academic Mission Stormwater Flood Protection</t>
  </si>
  <si>
    <t>NAVSUPPACT ANNAPOLIS</t>
  </si>
  <si>
    <t>N32411P1430</t>
  </si>
  <si>
    <t>Submarine Payload Integration Laboratory</t>
  </si>
  <si>
    <t>N00207P218</t>
  </si>
  <si>
    <t>P218</t>
  </si>
  <si>
    <t>SRSS Training &amp; MWR Physical Fitness Facility</t>
  </si>
  <si>
    <t>N68967P826</t>
  </si>
  <si>
    <t>P826</t>
  </si>
  <si>
    <t>Acoustic Research Detachment Small Craft Berthing</t>
  </si>
  <si>
    <t>N61755P826</t>
  </si>
  <si>
    <t>Utility Resiliency Upgrades and Primary Access Road (Polaris Point)</t>
  </si>
  <si>
    <t>N00246P1041</t>
  </si>
  <si>
    <t>FRCSW Command Security Enclave</t>
  </si>
  <si>
    <t>N61018P391</t>
  </si>
  <si>
    <t>N61018</t>
  </si>
  <si>
    <t>P391</t>
  </si>
  <si>
    <t>New Central Substation Near B-2713 (HIGA - E)</t>
  </si>
  <si>
    <t>NAVAL SUPPORT ACTIVITY CRANE</t>
  </si>
  <si>
    <t>N00128P713</t>
  </si>
  <si>
    <t>N00128</t>
  </si>
  <si>
    <t>P713</t>
  </si>
  <si>
    <t>"A" School BEQ Replacement</t>
  </si>
  <si>
    <t>GREAT LAKES NAVAL STATION</t>
  </si>
  <si>
    <t>N00128P715</t>
  </si>
  <si>
    <t>P715</t>
  </si>
  <si>
    <t>N00204P801</t>
  </si>
  <si>
    <t>P801</t>
  </si>
  <si>
    <t>Consolidated A School Dormitory</t>
  </si>
  <si>
    <t>N61014P180</t>
  </si>
  <si>
    <t>N61014</t>
  </si>
  <si>
    <t>P180</t>
  </si>
  <si>
    <t>Naval Innovation Center</t>
  </si>
  <si>
    <t>NAVSUPPACT MONTEREY CA</t>
  </si>
  <si>
    <t>N61008P405</t>
  </si>
  <si>
    <t>P405</t>
  </si>
  <si>
    <t>N00206P524</t>
  </si>
  <si>
    <t>N00206</t>
  </si>
  <si>
    <t>P524</t>
  </si>
  <si>
    <t>EOC Essential Personnel Hurricane Shelter</t>
  </si>
  <si>
    <t>NAS JRB NEW ORLEANS LA</t>
  </si>
  <si>
    <t>N68436P982</t>
  </si>
  <si>
    <t>P982</t>
  </si>
  <si>
    <t>Armored Fighting Vehicle Support Facility</t>
  </si>
  <si>
    <t>N68436P801</t>
  </si>
  <si>
    <t>Shipyard Critical Fuels Storage Facility</t>
  </si>
  <si>
    <t>N32411P084</t>
  </si>
  <si>
    <t>P084</t>
  </si>
  <si>
    <t>Next Generation Torpedo Integration Lab</t>
  </si>
  <si>
    <t>N61018P359</t>
  </si>
  <si>
    <t>P359</t>
  </si>
  <si>
    <t>Platform Protection Engr Complex</t>
  </si>
  <si>
    <t>N42237P177</t>
  </si>
  <si>
    <t>P177</t>
  </si>
  <si>
    <t>JB Charleston NNPTC Perimeter Security</t>
  </si>
  <si>
    <t>N61151P320</t>
  </si>
  <si>
    <t>N61151</t>
  </si>
  <si>
    <t>P320</t>
  </si>
  <si>
    <t>Fire Station Replacement</t>
  </si>
  <si>
    <t>NSA SOUTH POTOMAC</t>
  </si>
  <si>
    <t>N00129P925</t>
  </si>
  <si>
    <t>P925</t>
  </si>
  <si>
    <t>Fitness Center</t>
  </si>
  <si>
    <t>N61054P046</t>
  </si>
  <si>
    <t>P046</t>
  </si>
  <si>
    <t>USFJ Headquarters</t>
  </si>
  <si>
    <t>N60508P295</t>
  </si>
  <si>
    <t>P295</t>
  </si>
  <si>
    <t>AVENGER Flight Simulator Facility</t>
  </si>
  <si>
    <t>N50092P650</t>
  </si>
  <si>
    <t>N50092</t>
  </si>
  <si>
    <t>Physical Training and Readiness Complex</t>
  </si>
  <si>
    <t>JNTEXPBASE LITTLE CREEK FS VA</t>
  </si>
  <si>
    <t>N61755P838</t>
  </si>
  <si>
    <t>P838</t>
  </si>
  <si>
    <t>NEX Cold Storage Warehouse</t>
  </si>
  <si>
    <t>N61065P261</t>
  </si>
  <si>
    <t>N61065</t>
  </si>
  <si>
    <t>P261</t>
  </si>
  <si>
    <t>NAVWPNSTA SEAL BEACH</t>
  </si>
  <si>
    <t>LI</t>
  </si>
  <si>
    <t>Fund</t>
  </si>
  <si>
    <t>SCA</t>
  </si>
  <si>
    <t>LOE</t>
  </si>
  <si>
    <t>1 - Nuclear Deterrence</t>
  </si>
  <si>
    <t>4 - Global Network (New Platform)</t>
  </si>
  <si>
    <t>7 - Operational Support Infrastructure</t>
  </si>
  <si>
    <t>INTER/DEPOT LEVEL MAINT</t>
  </si>
  <si>
    <t>BASE SUPPORT</t>
  </si>
  <si>
    <t>3 - Critical Readiness Infrastructure</t>
  </si>
  <si>
    <t>WATERFRONT OPS</t>
  </si>
  <si>
    <t>AIRFIELD OPS</t>
  </si>
  <si>
    <t xml:space="preserve">6 - Global Network (New Locations) </t>
  </si>
  <si>
    <t>TRAINING</t>
  </si>
  <si>
    <t>4 - Global Netweork - New Platform</t>
  </si>
  <si>
    <t>LOGISTICS &amp; SUPPLY</t>
  </si>
  <si>
    <t>UTILITIES</t>
  </si>
  <si>
    <t>C5ISR OPS</t>
  </si>
  <si>
    <t>2 - Naval Operational Architecture</t>
  </si>
  <si>
    <t>SAILOR &amp; FAMILY READINESS</t>
  </si>
  <si>
    <t>5 - Health of the Force Infrastructure</t>
  </si>
  <si>
    <t>RDAT&amp;E</t>
  </si>
  <si>
    <t>EXPEDITIONARY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</si>
</sst>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1F497D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NumberFormat="1" applyFont="1" applyFill="1" applyAlignment="1">
      <alignment horizontal="center" vertical="center"/>
    </xf>
    <xf numFmtId="4" fontId="3" fillId="0" borderId="0" xfId="0" applyNumberFormat="1" applyFont="1" applyFill="1" applyAlignment="1"/>
    <xf numFmtId="0" fontId="2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3" fillId="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6.28515625" defaultRowHeight="15" x14ac:dyDescent="0.25"/>
  <cols>
    <col min="1" max="1" width="12.5703125" bestFit="1" customWidth="1"/>
    <col min="2" max="2" width="6.7109375" bestFit="1" customWidth="1"/>
    <col min="3" max="3" width="7.5703125" bestFit="1" customWidth="1"/>
    <col min="4" max="4" width="6.140625" bestFit="1" customWidth="1"/>
    <col min="5" max="5" width="68.28515625" customWidth="1"/>
    <col min="6" max="6" width="48" bestFit="1" customWidth="1"/>
    <col min="7" max="7" width="26.7109375" bestFit="1" customWidth="1"/>
    <col min="8" max="8" width="35" bestFit="1" customWidth="1"/>
    <col min="9" max="12" width="17.7109375" style="4" customWidth="1"/>
    <col min="13" max="16" width="10.7109375" customWidth="1"/>
  </cols>
  <sheetData>
    <row r="1" spans="1:16" x14ac:dyDescent="0.25">
      <c r="A1" s="6" t="s">
        <v>353</v>
      </c>
      <c r="B1" s="6" t="s">
        <v>354</v>
      </c>
      <c r="C1" s="6" t="s">
        <v>32</v>
      </c>
      <c r="D1" s="6" t="s">
        <v>9</v>
      </c>
      <c r="E1" s="6" t="s">
        <v>33</v>
      </c>
      <c r="F1" s="6" t="s">
        <v>34</v>
      </c>
      <c r="G1" s="6" t="s">
        <v>355</v>
      </c>
      <c r="H1" s="6" t="s">
        <v>356</v>
      </c>
      <c r="I1" s="1" t="s">
        <v>0</v>
      </c>
      <c r="J1" s="1" t="s">
        <v>1</v>
      </c>
      <c r="K1" s="1" t="s">
        <v>2</v>
      </c>
      <c r="L1" s="1" t="s">
        <v>3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 x14ac:dyDescent="0.25">
      <c r="A2" t="s">
        <v>36</v>
      </c>
      <c r="B2" t="s">
        <v>35</v>
      </c>
      <c r="C2" t="s">
        <v>37</v>
      </c>
      <c r="D2" t="s">
        <v>38</v>
      </c>
      <c r="E2" t="s">
        <v>39</v>
      </c>
      <c r="F2" t="s">
        <v>40</v>
      </c>
      <c r="G2" t="s">
        <v>360</v>
      </c>
      <c r="H2" t="s">
        <v>357</v>
      </c>
      <c r="I2" s="5">
        <v>1</v>
      </c>
      <c r="J2" s="5">
        <v>1</v>
      </c>
      <c r="K2" s="5">
        <v>0</v>
      </c>
      <c r="L2" s="5">
        <v>1</v>
      </c>
      <c r="M2" s="4">
        <f t="shared" ref="M2:M33" si="0">IF(I2=1,4,IF(I2=0.7,3,IF(I2=0.35,2,IF(I2=0.1,1,0))))</f>
        <v>4</v>
      </c>
      <c r="N2" s="4">
        <f t="shared" ref="N2:N33" si="1">IF(J2=1,4,IF(J2=0.7,3,IF(J2=0.35,2,IF(J2=0.1,1,0))))</f>
        <v>4</v>
      </c>
      <c r="O2" s="4">
        <f t="shared" ref="O2:O33" si="2">IF(K2=1,4,IF(K2=0.7,3,IF(K2=0.35,2,IF(K2=0.1,1,0))))</f>
        <v>0</v>
      </c>
      <c r="P2" s="4">
        <f t="shared" ref="P2:P26" si="3">IF(L2=1,4,IF(L2=0.7,3,IF(L2=0.35,2,IF(L2=0.1,1,0))))</f>
        <v>4</v>
      </c>
    </row>
    <row r="3" spans="1:16" x14ac:dyDescent="0.25">
      <c r="A3" t="s">
        <v>41</v>
      </c>
      <c r="B3" t="s">
        <v>35</v>
      </c>
      <c r="C3" t="s">
        <v>42</v>
      </c>
      <c r="D3" t="s">
        <v>43</v>
      </c>
      <c r="E3" t="s">
        <v>44</v>
      </c>
      <c r="F3" t="s">
        <v>45</v>
      </c>
      <c r="G3" t="s">
        <v>360</v>
      </c>
      <c r="H3" t="s">
        <v>359</v>
      </c>
      <c r="I3" s="5">
        <v>1</v>
      </c>
      <c r="J3" s="5">
        <v>1</v>
      </c>
      <c r="K3" s="5">
        <v>0</v>
      </c>
      <c r="L3" s="5">
        <v>1</v>
      </c>
      <c r="M3" s="4">
        <f t="shared" si="0"/>
        <v>4</v>
      </c>
      <c r="N3" s="4">
        <f t="shared" si="1"/>
        <v>4</v>
      </c>
      <c r="O3" s="4">
        <f t="shared" si="2"/>
        <v>0</v>
      </c>
      <c r="P3" s="4">
        <f t="shared" si="3"/>
        <v>4</v>
      </c>
    </row>
    <row r="4" spans="1:16" x14ac:dyDescent="0.25">
      <c r="A4" t="s">
        <v>46</v>
      </c>
      <c r="B4" t="s">
        <v>35</v>
      </c>
      <c r="C4" t="s">
        <v>47</v>
      </c>
      <c r="D4" t="s">
        <v>48</v>
      </c>
      <c r="E4" t="s">
        <v>49</v>
      </c>
      <c r="F4" t="s">
        <v>50</v>
      </c>
      <c r="G4" t="s">
        <v>361</v>
      </c>
      <c r="H4" t="s">
        <v>359</v>
      </c>
      <c r="I4" s="5">
        <v>1</v>
      </c>
      <c r="J4" s="5">
        <v>1</v>
      </c>
      <c r="K4" s="5">
        <v>0</v>
      </c>
      <c r="L4" s="5">
        <v>1</v>
      </c>
      <c r="M4" s="4">
        <f t="shared" si="0"/>
        <v>4</v>
      </c>
      <c r="N4" s="4">
        <f t="shared" si="1"/>
        <v>4</v>
      </c>
      <c r="O4" s="4">
        <f t="shared" si="2"/>
        <v>0</v>
      </c>
      <c r="P4" s="4">
        <f t="shared" si="3"/>
        <v>4</v>
      </c>
    </row>
    <row r="5" spans="1:16" x14ac:dyDescent="0.25">
      <c r="A5" t="s">
        <v>51</v>
      </c>
      <c r="B5" t="s">
        <v>35</v>
      </c>
      <c r="C5" t="s">
        <v>37</v>
      </c>
      <c r="D5" t="s">
        <v>52</v>
      </c>
      <c r="E5" t="s">
        <v>53</v>
      </c>
      <c r="F5" t="s">
        <v>40</v>
      </c>
      <c r="G5" t="s">
        <v>360</v>
      </c>
      <c r="H5" t="s">
        <v>357</v>
      </c>
      <c r="I5" s="5">
        <v>1</v>
      </c>
      <c r="J5" s="5">
        <v>1</v>
      </c>
      <c r="K5" s="5">
        <v>0</v>
      </c>
      <c r="L5" s="5">
        <v>1</v>
      </c>
      <c r="M5" s="4">
        <f t="shared" si="0"/>
        <v>4</v>
      </c>
      <c r="N5" s="4">
        <f t="shared" si="1"/>
        <v>4</v>
      </c>
      <c r="O5" s="4">
        <f t="shared" si="2"/>
        <v>0</v>
      </c>
      <c r="P5" s="4">
        <f t="shared" si="3"/>
        <v>4</v>
      </c>
    </row>
    <row r="6" spans="1:16" x14ac:dyDescent="0.25">
      <c r="A6" t="s">
        <v>54</v>
      </c>
      <c r="B6" t="s">
        <v>35</v>
      </c>
      <c r="C6" t="s">
        <v>42</v>
      </c>
      <c r="D6" t="s">
        <v>55</v>
      </c>
      <c r="E6" t="s">
        <v>56</v>
      </c>
      <c r="F6" t="s">
        <v>45</v>
      </c>
      <c r="G6" t="s">
        <v>360</v>
      </c>
      <c r="H6" t="s">
        <v>362</v>
      </c>
      <c r="I6" s="5">
        <v>1</v>
      </c>
      <c r="J6" s="5">
        <v>1</v>
      </c>
      <c r="K6" s="5">
        <v>0.1</v>
      </c>
      <c r="L6" s="5">
        <v>1</v>
      </c>
      <c r="M6" s="4">
        <f t="shared" si="0"/>
        <v>4</v>
      </c>
      <c r="N6" s="4">
        <f t="shared" si="1"/>
        <v>4</v>
      </c>
      <c r="O6" s="4">
        <f t="shared" si="2"/>
        <v>1</v>
      </c>
      <c r="P6" s="4">
        <f t="shared" si="3"/>
        <v>4</v>
      </c>
    </row>
    <row r="7" spans="1:16" x14ac:dyDescent="0.25">
      <c r="A7" t="s">
        <v>57</v>
      </c>
      <c r="B7" t="s">
        <v>35</v>
      </c>
      <c r="C7" t="s">
        <v>42</v>
      </c>
      <c r="D7" t="s">
        <v>58</v>
      </c>
      <c r="E7" t="s">
        <v>59</v>
      </c>
      <c r="F7" t="s">
        <v>45</v>
      </c>
      <c r="G7" t="s">
        <v>360</v>
      </c>
      <c r="H7" t="s">
        <v>359</v>
      </c>
      <c r="I7" s="5">
        <v>1</v>
      </c>
      <c r="J7" s="5">
        <v>1</v>
      </c>
      <c r="K7" s="5">
        <v>0.1</v>
      </c>
      <c r="L7" s="5">
        <v>1</v>
      </c>
      <c r="M7" s="4">
        <f t="shared" si="0"/>
        <v>4</v>
      </c>
      <c r="N7" s="4">
        <f t="shared" si="1"/>
        <v>4</v>
      </c>
      <c r="O7" s="4">
        <f t="shared" si="2"/>
        <v>1</v>
      </c>
      <c r="P7" s="4">
        <f t="shared" si="3"/>
        <v>4</v>
      </c>
    </row>
    <row r="8" spans="1:16" x14ac:dyDescent="0.25">
      <c r="A8" t="s">
        <v>60</v>
      </c>
      <c r="B8" t="s">
        <v>35</v>
      </c>
      <c r="C8" t="s">
        <v>42</v>
      </c>
      <c r="D8" t="s">
        <v>61</v>
      </c>
      <c r="E8" t="s">
        <v>62</v>
      </c>
      <c r="F8" t="s">
        <v>45</v>
      </c>
      <c r="G8" t="s">
        <v>360</v>
      </c>
      <c r="H8" t="s">
        <v>359</v>
      </c>
      <c r="I8" s="5">
        <v>1</v>
      </c>
      <c r="J8" s="5">
        <v>1</v>
      </c>
      <c r="K8" s="5">
        <v>0.1</v>
      </c>
      <c r="L8" s="5">
        <v>1</v>
      </c>
      <c r="M8" s="4">
        <f t="shared" si="0"/>
        <v>4</v>
      </c>
      <c r="N8" s="4">
        <f t="shared" si="1"/>
        <v>4</v>
      </c>
      <c r="O8" s="4">
        <f t="shared" si="2"/>
        <v>1</v>
      </c>
      <c r="P8" s="4">
        <f t="shared" si="3"/>
        <v>4</v>
      </c>
    </row>
    <row r="9" spans="1:16" x14ac:dyDescent="0.25">
      <c r="A9" t="s">
        <v>63</v>
      </c>
      <c r="B9" t="s">
        <v>35</v>
      </c>
      <c r="C9" t="s">
        <v>64</v>
      </c>
      <c r="D9" t="s">
        <v>65</v>
      </c>
      <c r="E9" t="s">
        <v>66</v>
      </c>
      <c r="F9" t="s">
        <v>67</v>
      </c>
      <c r="G9" t="s">
        <v>363</v>
      </c>
      <c r="H9" t="s">
        <v>362</v>
      </c>
      <c r="I9" s="5">
        <v>1</v>
      </c>
      <c r="J9" s="5">
        <v>1</v>
      </c>
      <c r="K9" s="5">
        <v>0</v>
      </c>
      <c r="L9" s="5">
        <v>1</v>
      </c>
      <c r="M9" s="4">
        <f t="shared" si="0"/>
        <v>4</v>
      </c>
      <c r="N9" s="4">
        <f t="shared" si="1"/>
        <v>4</v>
      </c>
      <c r="O9" s="4">
        <f t="shared" si="2"/>
        <v>0</v>
      </c>
      <c r="P9" s="4">
        <f t="shared" si="3"/>
        <v>4</v>
      </c>
    </row>
    <row r="10" spans="1:16" x14ac:dyDescent="0.25">
      <c r="A10" t="s">
        <v>68</v>
      </c>
      <c r="B10" t="s">
        <v>35</v>
      </c>
      <c r="C10" t="s">
        <v>69</v>
      </c>
      <c r="D10" t="s">
        <v>70</v>
      </c>
      <c r="E10" t="s">
        <v>71</v>
      </c>
      <c r="F10" t="s">
        <v>72</v>
      </c>
      <c r="G10" t="s">
        <v>364</v>
      </c>
      <c r="H10" t="s">
        <v>365</v>
      </c>
      <c r="I10" s="5">
        <v>1</v>
      </c>
      <c r="J10" s="5">
        <v>1</v>
      </c>
      <c r="K10" s="5">
        <v>0</v>
      </c>
      <c r="L10" s="5">
        <v>1</v>
      </c>
      <c r="M10" s="4">
        <f t="shared" si="0"/>
        <v>4</v>
      </c>
      <c r="N10" s="4">
        <f t="shared" si="1"/>
        <v>4</v>
      </c>
      <c r="O10" s="4">
        <f t="shared" si="2"/>
        <v>0</v>
      </c>
      <c r="P10" s="4">
        <f t="shared" si="3"/>
        <v>4</v>
      </c>
    </row>
    <row r="11" spans="1:16" x14ac:dyDescent="0.25">
      <c r="A11" t="s">
        <v>73</v>
      </c>
      <c r="B11" t="s">
        <v>35</v>
      </c>
      <c r="C11" t="s">
        <v>74</v>
      </c>
      <c r="D11" t="s">
        <v>75</v>
      </c>
      <c r="E11" t="s">
        <v>76</v>
      </c>
      <c r="F11" t="s">
        <v>77</v>
      </c>
      <c r="G11" t="s">
        <v>360</v>
      </c>
      <c r="H11" t="s">
        <v>357</v>
      </c>
      <c r="I11" s="5">
        <v>1</v>
      </c>
      <c r="J11" s="5">
        <v>1</v>
      </c>
      <c r="K11" s="5">
        <v>0</v>
      </c>
      <c r="L11" s="5">
        <v>1</v>
      </c>
      <c r="M11" s="4">
        <f t="shared" si="0"/>
        <v>4</v>
      </c>
      <c r="N11" s="4">
        <f t="shared" si="1"/>
        <v>4</v>
      </c>
      <c r="O11" s="4">
        <f t="shared" si="2"/>
        <v>0</v>
      </c>
      <c r="P11" s="4">
        <f t="shared" si="3"/>
        <v>4</v>
      </c>
    </row>
    <row r="12" spans="1:16" x14ac:dyDescent="0.25">
      <c r="A12" t="s">
        <v>78</v>
      </c>
      <c r="B12" t="s">
        <v>35</v>
      </c>
      <c r="C12" t="s">
        <v>37</v>
      </c>
      <c r="D12" t="s">
        <v>79</v>
      </c>
      <c r="E12" t="s">
        <v>80</v>
      </c>
      <c r="F12" t="s">
        <v>81</v>
      </c>
      <c r="G12" t="s">
        <v>366</v>
      </c>
      <c r="H12" t="s">
        <v>358</v>
      </c>
      <c r="I12" s="5">
        <v>1</v>
      </c>
      <c r="J12" s="5">
        <v>1</v>
      </c>
      <c r="K12" s="5">
        <v>0</v>
      </c>
      <c r="L12" s="5">
        <v>1</v>
      </c>
      <c r="M12" s="4">
        <f t="shared" si="0"/>
        <v>4</v>
      </c>
      <c r="N12" s="4">
        <f t="shared" si="1"/>
        <v>4</v>
      </c>
      <c r="O12" s="4">
        <f t="shared" si="2"/>
        <v>0</v>
      </c>
      <c r="P12" s="4">
        <f t="shared" si="3"/>
        <v>4</v>
      </c>
    </row>
    <row r="13" spans="1:16" x14ac:dyDescent="0.25">
      <c r="A13" t="s">
        <v>82</v>
      </c>
      <c r="B13" t="s">
        <v>35</v>
      </c>
      <c r="C13" t="s">
        <v>37</v>
      </c>
      <c r="D13" t="s">
        <v>55</v>
      </c>
      <c r="E13" t="s">
        <v>83</v>
      </c>
      <c r="F13" t="s">
        <v>40</v>
      </c>
      <c r="G13" t="s">
        <v>366</v>
      </c>
      <c r="H13" t="s">
        <v>357</v>
      </c>
      <c r="I13" s="5">
        <v>1</v>
      </c>
      <c r="J13" s="5">
        <v>1</v>
      </c>
      <c r="K13" s="5">
        <v>0</v>
      </c>
      <c r="L13" s="5">
        <v>1</v>
      </c>
      <c r="M13" s="4">
        <f t="shared" si="0"/>
        <v>4</v>
      </c>
      <c r="N13" s="4">
        <f t="shared" si="1"/>
        <v>4</v>
      </c>
      <c r="O13" s="4">
        <f t="shared" si="2"/>
        <v>0</v>
      </c>
      <c r="P13" s="4">
        <f t="shared" si="3"/>
        <v>4</v>
      </c>
    </row>
    <row r="14" spans="1:16" x14ac:dyDescent="0.25">
      <c r="A14" t="s">
        <v>84</v>
      </c>
      <c r="B14" t="s">
        <v>35</v>
      </c>
      <c r="C14" t="s">
        <v>85</v>
      </c>
      <c r="D14" t="s">
        <v>14</v>
      </c>
      <c r="E14" t="s">
        <v>86</v>
      </c>
      <c r="F14" t="s">
        <v>87</v>
      </c>
      <c r="G14" t="s">
        <v>363</v>
      </c>
      <c r="H14" t="s">
        <v>367</v>
      </c>
      <c r="I14" s="5">
        <v>1</v>
      </c>
      <c r="J14" s="5">
        <v>1</v>
      </c>
      <c r="K14" s="5">
        <v>0</v>
      </c>
      <c r="L14" s="5">
        <v>1</v>
      </c>
      <c r="M14" s="4">
        <f t="shared" si="0"/>
        <v>4</v>
      </c>
      <c r="N14" s="4">
        <f t="shared" si="1"/>
        <v>4</v>
      </c>
      <c r="O14" s="4">
        <f t="shared" si="2"/>
        <v>0</v>
      </c>
      <c r="P14" s="4">
        <f t="shared" si="3"/>
        <v>4</v>
      </c>
    </row>
    <row r="15" spans="1:16" x14ac:dyDescent="0.25">
      <c r="A15" t="s">
        <v>88</v>
      </c>
      <c r="B15" t="s">
        <v>35</v>
      </c>
      <c r="C15" t="s">
        <v>64</v>
      </c>
      <c r="D15" t="s">
        <v>27</v>
      </c>
      <c r="E15" t="s">
        <v>89</v>
      </c>
      <c r="F15" t="s">
        <v>67</v>
      </c>
      <c r="G15" t="s">
        <v>360</v>
      </c>
      <c r="H15" t="s">
        <v>362</v>
      </c>
      <c r="I15" s="5">
        <v>1</v>
      </c>
      <c r="J15" s="5">
        <v>1</v>
      </c>
      <c r="K15" s="5">
        <v>0</v>
      </c>
      <c r="L15" s="5">
        <v>1</v>
      </c>
      <c r="M15" s="4">
        <f t="shared" si="0"/>
        <v>4</v>
      </c>
      <c r="N15" s="4">
        <f t="shared" si="1"/>
        <v>4</v>
      </c>
      <c r="O15" s="4">
        <f t="shared" si="2"/>
        <v>0</v>
      </c>
      <c r="P15" s="4">
        <f t="shared" si="3"/>
        <v>4</v>
      </c>
    </row>
    <row r="16" spans="1:16" x14ac:dyDescent="0.25">
      <c r="A16" t="s">
        <v>90</v>
      </c>
      <c r="B16" t="s">
        <v>35</v>
      </c>
      <c r="C16" t="s">
        <v>91</v>
      </c>
      <c r="D16" t="s">
        <v>92</v>
      </c>
      <c r="E16" t="s">
        <v>93</v>
      </c>
      <c r="F16" t="s">
        <v>94</v>
      </c>
      <c r="G16" t="s">
        <v>364</v>
      </c>
      <c r="H16" t="s">
        <v>367</v>
      </c>
      <c r="I16" s="5">
        <v>1</v>
      </c>
      <c r="J16" s="5">
        <v>1</v>
      </c>
      <c r="K16" s="5">
        <v>0</v>
      </c>
      <c r="L16" s="5">
        <v>1</v>
      </c>
      <c r="M16" s="4">
        <f t="shared" si="0"/>
        <v>4</v>
      </c>
      <c r="N16" s="4">
        <f t="shared" si="1"/>
        <v>4</v>
      </c>
      <c r="O16" s="4">
        <f t="shared" si="2"/>
        <v>0</v>
      </c>
      <c r="P16" s="4">
        <f t="shared" si="3"/>
        <v>4</v>
      </c>
    </row>
    <row r="17" spans="1:16" x14ac:dyDescent="0.25">
      <c r="A17" t="s">
        <v>95</v>
      </c>
      <c r="B17" t="s">
        <v>35</v>
      </c>
      <c r="C17" t="s">
        <v>37</v>
      </c>
      <c r="D17" t="s">
        <v>96</v>
      </c>
      <c r="E17" t="s">
        <v>97</v>
      </c>
      <c r="F17" t="s">
        <v>40</v>
      </c>
      <c r="G17" t="s">
        <v>368</v>
      </c>
      <c r="H17" t="s">
        <v>357</v>
      </c>
      <c r="I17" s="5">
        <v>1</v>
      </c>
      <c r="J17" s="5">
        <v>1</v>
      </c>
      <c r="K17" s="5">
        <v>0</v>
      </c>
      <c r="L17" s="5">
        <v>1</v>
      </c>
      <c r="M17" s="4">
        <f t="shared" si="0"/>
        <v>4</v>
      </c>
      <c r="N17" s="4">
        <f t="shared" si="1"/>
        <v>4</v>
      </c>
      <c r="O17" s="4">
        <f t="shared" si="2"/>
        <v>0</v>
      </c>
      <c r="P17" s="4">
        <f t="shared" si="3"/>
        <v>4</v>
      </c>
    </row>
    <row r="18" spans="1:16" x14ac:dyDescent="0.25">
      <c r="A18" t="s">
        <v>98</v>
      </c>
      <c r="B18" t="s">
        <v>35</v>
      </c>
      <c r="C18" t="s">
        <v>99</v>
      </c>
      <c r="D18" t="s">
        <v>25</v>
      </c>
      <c r="E18" t="s">
        <v>100</v>
      </c>
      <c r="F18" t="s">
        <v>101</v>
      </c>
      <c r="G18" t="s">
        <v>369</v>
      </c>
      <c r="H18" t="s">
        <v>359</v>
      </c>
      <c r="I18" s="5">
        <v>1</v>
      </c>
      <c r="J18" s="5">
        <v>1</v>
      </c>
      <c r="K18" s="5">
        <v>0</v>
      </c>
      <c r="L18" s="5">
        <v>1</v>
      </c>
      <c r="M18" s="4">
        <f t="shared" si="0"/>
        <v>4</v>
      </c>
      <c r="N18" s="4">
        <f t="shared" si="1"/>
        <v>4</v>
      </c>
      <c r="O18" s="4">
        <f t="shared" si="2"/>
        <v>0</v>
      </c>
      <c r="P18" s="4">
        <f t="shared" si="3"/>
        <v>4</v>
      </c>
    </row>
    <row r="19" spans="1:16" x14ac:dyDescent="0.25">
      <c r="A19" t="s">
        <v>102</v>
      </c>
      <c r="B19" t="s">
        <v>35</v>
      </c>
      <c r="C19" t="s">
        <v>103</v>
      </c>
      <c r="D19" t="s">
        <v>104</v>
      </c>
      <c r="E19" t="s">
        <v>105</v>
      </c>
      <c r="F19" t="s">
        <v>106</v>
      </c>
      <c r="G19" t="s">
        <v>360</v>
      </c>
      <c r="H19" t="s">
        <v>357</v>
      </c>
      <c r="I19" s="5">
        <v>1</v>
      </c>
      <c r="J19" s="5">
        <v>1</v>
      </c>
      <c r="K19" s="5">
        <v>0</v>
      </c>
      <c r="L19" s="5">
        <v>1</v>
      </c>
      <c r="M19" s="4">
        <f t="shared" si="0"/>
        <v>4</v>
      </c>
      <c r="N19" s="4">
        <f t="shared" si="1"/>
        <v>4</v>
      </c>
      <c r="O19" s="4">
        <f t="shared" si="2"/>
        <v>0</v>
      </c>
      <c r="P19" s="4">
        <f t="shared" si="3"/>
        <v>4</v>
      </c>
    </row>
    <row r="20" spans="1:16" x14ac:dyDescent="0.25">
      <c r="A20" t="s">
        <v>107</v>
      </c>
      <c r="B20" t="s">
        <v>35</v>
      </c>
      <c r="C20" t="s">
        <v>85</v>
      </c>
      <c r="D20" t="s">
        <v>11</v>
      </c>
      <c r="E20" t="s">
        <v>108</v>
      </c>
      <c r="F20" t="s">
        <v>87</v>
      </c>
      <c r="G20" t="s">
        <v>370</v>
      </c>
      <c r="H20" t="s">
        <v>357</v>
      </c>
      <c r="I20" s="5">
        <v>1</v>
      </c>
      <c r="J20" s="5">
        <v>1</v>
      </c>
      <c r="K20" s="5">
        <v>0</v>
      </c>
      <c r="L20" s="5">
        <v>1</v>
      </c>
      <c r="M20" s="4">
        <f t="shared" si="0"/>
        <v>4</v>
      </c>
      <c r="N20" s="4">
        <f t="shared" si="1"/>
        <v>4</v>
      </c>
      <c r="O20" s="4">
        <f t="shared" si="2"/>
        <v>0</v>
      </c>
      <c r="P20" s="4">
        <f t="shared" si="3"/>
        <v>4</v>
      </c>
    </row>
    <row r="21" spans="1:16" x14ac:dyDescent="0.25">
      <c r="A21" t="s">
        <v>109</v>
      </c>
      <c r="B21" t="s">
        <v>35</v>
      </c>
      <c r="C21" t="s">
        <v>110</v>
      </c>
      <c r="D21" t="s">
        <v>20</v>
      </c>
      <c r="E21" t="s">
        <v>111</v>
      </c>
      <c r="F21" t="s">
        <v>112</v>
      </c>
      <c r="G21" t="s">
        <v>369</v>
      </c>
      <c r="H21" t="s">
        <v>359</v>
      </c>
      <c r="I21" s="5">
        <v>1</v>
      </c>
      <c r="J21" s="5">
        <v>1</v>
      </c>
      <c r="K21" s="5">
        <v>0</v>
      </c>
      <c r="L21" s="5">
        <v>1</v>
      </c>
      <c r="M21" s="4">
        <f t="shared" si="0"/>
        <v>4</v>
      </c>
      <c r="N21" s="4">
        <f t="shared" si="1"/>
        <v>4</v>
      </c>
      <c r="O21" s="4">
        <f t="shared" si="2"/>
        <v>0</v>
      </c>
      <c r="P21" s="4">
        <f t="shared" si="3"/>
        <v>4</v>
      </c>
    </row>
    <row r="22" spans="1:16" x14ac:dyDescent="0.25">
      <c r="A22" t="s">
        <v>113</v>
      </c>
      <c r="B22" t="s">
        <v>35</v>
      </c>
      <c r="C22" t="s">
        <v>103</v>
      </c>
      <c r="D22" t="s">
        <v>114</v>
      </c>
      <c r="E22" t="s">
        <v>115</v>
      </c>
      <c r="F22" t="s">
        <v>106</v>
      </c>
      <c r="G22" t="s">
        <v>369</v>
      </c>
      <c r="H22" t="s">
        <v>357</v>
      </c>
      <c r="I22" s="5">
        <v>1</v>
      </c>
      <c r="J22" s="5">
        <v>1</v>
      </c>
      <c r="K22" s="5">
        <v>0</v>
      </c>
      <c r="L22" s="5">
        <v>1</v>
      </c>
      <c r="M22" s="4">
        <f t="shared" si="0"/>
        <v>4</v>
      </c>
      <c r="N22" s="4">
        <f t="shared" si="1"/>
        <v>4</v>
      </c>
      <c r="O22" s="4">
        <f t="shared" si="2"/>
        <v>0</v>
      </c>
      <c r="P22" s="4">
        <f t="shared" si="3"/>
        <v>4</v>
      </c>
    </row>
    <row r="23" spans="1:16" x14ac:dyDescent="0.25">
      <c r="A23" t="s">
        <v>116</v>
      </c>
      <c r="B23" t="s">
        <v>35</v>
      </c>
      <c r="C23" t="s">
        <v>117</v>
      </c>
      <c r="D23" t="s">
        <v>118</v>
      </c>
      <c r="E23" t="s">
        <v>119</v>
      </c>
      <c r="F23" t="s">
        <v>120</v>
      </c>
      <c r="G23" t="s">
        <v>364</v>
      </c>
      <c r="H23" t="s">
        <v>362</v>
      </c>
      <c r="I23" s="5">
        <v>1</v>
      </c>
      <c r="J23" s="5">
        <v>0.7</v>
      </c>
      <c r="K23" s="5">
        <v>0</v>
      </c>
      <c r="L23" s="5">
        <v>1</v>
      </c>
      <c r="M23" s="4">
        <f t="shared" si="0"/>
        <v>4</v>
      </c>
      <c r="N23" s="4">
        <f t="shared" si="1"/>
        <v>3</v>
      </c>
      <c r="O23" s="4">
        <f t="shared" si="2"/>
        <v>0</v>
      </c>
      <c r="P23" s="4">
        <f t="shared" si="3"/>
        <v>4</v>
      </c>
    </row>
    <row r="24" spans="1:16" x14ac:dyDescent="0.25">
      <c r="A24" t="s">
        <v>121</v>
      </c>
      <c r="B24" t="s">
        <v>35</v>
      </c>
      <c r="C24" t="s">
        <v>122</v>
      </c>
      <c r="D24" t="s">
        <v>26</v>
      </c>
      <c r="E24" t="s">
        <v>123</v>
      </c>
      <c r="F24" t="s">
        <v>124</v>
      </c>
      <c r="G24" t="s">
        <v>370</v>
      </c>
      <c r="H24" t="s">
        <v>371</v>
      </c>
      <c r="I24" s="5">
        <v>1</v>
      </c>
      <c r="J24" s="5">
        <v>1</v>
      </c>
      <c r="K24" s="5">
        <v>0</v>
      </c>
      <c r="L24" s="5">
        <v>0.7</v>
      </c>
      <c r="M24" s="4">
        <f t="shared" si="0"/>
        <v>4</v>
      </c>
      <c r="N24" s="4">
        <f t="shared" si="1"/>
        <v>4</v>
      </c>
      <c r="O24" s="4">
        <f t="shared" si="2"/>
        <v>0</v>
      </c>
      <c r="P24" s="4">
        <f t="shared" si="3"/>
        <v>3</v>
      </c>
    </row>
    <row r="25" spans="1:16" x14ac:dyDescent="0.25">
      <c r="A25" t="s">
        <v>125</v>
      </c>
      <c r="B25" t="s">
        <v>35</v>
      </c>
      <c r="C25" t="s">
        <v>126</v>
      </c>
      <c r="D25" t="s">
        <v>70</v>
      </c>
      <c r="E25" t="s">
        <v>127</v>
      </c>
      <c r="F25" t="s">
        <v>128</v>
      </c>
      <c r="G25" t="s">
        <v>370</v>
      </c>
      <c r="H25" t="s">
        <v>371</v>
      </c>
      <c r="I25" s="5">
        <v>1</v>
      </c>
      <c r="J25" s="5">
        <v>1</v>
      </c>
      <c r="K25" s="5">
        <v>0</v>
      </c>
      <c r="L25" s="5">
        <v>0.7</v>
      </c>
      <c r="M25" s="4">
        <f t="shared" si="0"/>
        <v>4</v>
      </c>
      <c r="N25" s="4">
        <f t="shared" si="1"/>
        <v>4</v>
      </c>
      <c r="O25" s="4">
        <f t="shared" si="2"/>
        <v>0</v>
      </c>
      <c r="P25" s="4">
        <f t="shared" si="3"/>
        <v>3</v>
      </c>
    </row>
    <row r="26" spans="1:16" x14ac:dyDescent="0.25">
      <c r="A26" t="s">
        <v>129</v>
      </c>
      <c r="B26" t="s">
        <v>35</v>
      </c>
      <c r="C26" t="s">
        <v>130</v>
      </c>
      <c r="D26" t="s">
        <v>131</v>
      </c>
      <c r="E26" t="s">
        <v>132</v>
      </c>
      <c r="F26" t="s">
        <v>133</v>
      </c>
      <c r="G26" t="s">
        <v>364</v>
      </c>
      <c r="H26" t="s">
        <v>359</v>
      </c>
      <c r="I26" s="5">
        <v>1</v>
      </c>
      <c r="J26" s="5">
        <v>1</v>
      </c>
      <c r="K26" s="5">
        <v>0.1</v>
      </c>
      <c r="L26" s="5">
        <v>0.7</v>
      </c>
      <c r="M26" s="4">
        <f t="shared" si="0"/>
        <v>4</v>
      </c>
      <c r="N26" s="4">
        <f t="shared" si="1"/>
        <v>4</v>
      </c>
      <c r="O26" s="4">
        <f t="shared" si="2"/>
        <v>1</v>
      </c>
      <c r="P26" s="4">
        <f t="shared" si="3"/>
        <v>3</v>
      </c>
    </row>
    <row r="27" spans="1:16" x14ac:dyDescent="0.25">
      <c r="A27" t="s">
        <v>134</v>
      </c>
      <c r="B27" t="s">
        <v>35</v>
      </c>
      <c r="C27" t="s">
        <v>42</v>
      </c>
      <c r="D27" t="s">
        <v>135</v>
      </c>
      <c r="E27" t="s">
        <v>136</v>
      </c>
      <c r="F27" t="s">
        <v>137</v>
      </c>
      <c r="G27" t="s">
        <v>369</v>
      </c>
      <c r="H27" t="s">
        <v>371</v>
      </c>
      <c r="I27" s="5">
        <v>1</v>
      </c>
      <c r="J27" s="5">
        <v>0.7</v>
      </c>
      <c r="K27" s="5">
        <v>0</v>
      </c>
      <c r="L27" s="5">
        <v>1</v>
      </c>
      <c r="M27" s="4">
        <f t="shared" si="0"/>
        <v>4</v>
      </c>
      <c r="N27" s="4">
        <f t="shared" si="1"/>
        <v>3</v>
      </c>
      <c r="O27" s="4">
        <f t="shared" si="2"/>
        <v>0</v>
      </c>
      <c r="P27" s="4">
        <f t="shared" ref="P27:P49" si="4">IF(L27=1,4,IF(L27=0.7,3,IF(L27=0.35,2,IF(L27=0.1,1,0))))</f>
        <v>4</v>
      </c>
    </row>
    <row r="28" spans="1:16" x14ac:dyDescent="0.25">
      <c r="A28" t="s">
        <v>138</v>
      </c>
      <c r="B28" t="s">
        <v>35</v>
      </c>
      <c r="C28" t="s">
        <v>139</v>
      </c>
      <c r="D28" t="s">
        <v>140</v>
      </c>
      <c r="E28" t="s">
        <v>141</v>
      </c>
      <c r="F28" t="s">
        <v>142</v>
      </c>
      <c r="G28" t="s">
        <v>366</v>
      </c>
      <c r="H28" t="s">
        <v>359</v>
      </c>
      <c r="I28" s="5">
        <v>1</v>
      </c>
      <c r="J28" s="5">
        <v>1</v>
      </c>
      <c r="K28" s="5">
        <v>0</v>
      </c>
      <c r="L28" s="5">
        <v>0.7</v>
      </c>
      <c r="M28" s="4">
        <f t="shared" si="0"/>
        <v>4</v>
      </c>
      <c r="N28" s="4">
        <f t="shared" si="1"/>
        <v>4</v>
      </c>
      <c r="O28" s="4">
        <f t="shared" si="2"/>
        <v>0</v>
      </c>
      <c r="P28" s="4">
        <f t="shared" si="4"/>
        <v>3</v>
      </c>
    </row>
    <row r="29" spans="1:16" x14ac:dyDescent="0.25">
      <c r="A29" t="s">
        <v>143</v>
      </c>
      <c r="B29" t="s">
        <v>35</v>
      </c>
      <c r="C29" t="s">
        <v>85</v>
      </c>
      <c r="D29" t="s">
        <v>12</v>
      </c>
      <c r="E29" t="s">
        <v>144</v>
      </c>
      <c r="F29" t="s">
        <v>87</v>
      </c>
      <c r="G29" t="s">
        <v>370</v>
      </c>
      <c r="H29" t="s">
        <v>371</v>
      </c>
      <c r="I29" s="5">
        <v>1</v>
      </c>
      <c r="J29" s="5">
        <v>1</v>
      </c>
      <c r="K29" s="5">
        <v>0</v>
      </c>
      <c r="L29" s="5">
        <v>0.7</v>
      </c>
      <c r="M29" s="4">
        <f t="shared" si="0"/>
        <v>4</v>
      </c>
      <c r="N29" s="4">
        <f t="shared" si="1"/>
        <v>4</v>
      </c>
      <c r="O29" s="4">
        <f t="shared" si="2"/>
        <v>0</v>
      </c>
      <c r="P29" s="4">
        <f t="shared" si="4"/>
        <v>3</v>
      </c>
    </row>
    <row r="30" spans="1:16" x14ac:dyDescent="0.25">
      <c r="A30" t="s">
        <v>145</v>
      </c>
      <c r="B30" t="s">
        <v>35</v>
      </c>
      <c r="C30" t="s">
        <v>146</v>
      </c>
      <c r="D30" t="s">
        <v>147</v>
      </c>
      <c r="E30" t="s">
        <v>148</v>
      </c>
      <c r="F30" t="s">
        <v>149</v>
      </c>
      <c r="G30" t="s">
        <v>366</v>
      </c>
      <c r="H30" t="s">
        <v>359</v>
      </c>
      <c r="I30" s="5">
        <v>1</v>
      </c>
      <c r="J30" s="5">
        <v>1</v>
      </c>
      <c r="K30" s="5">
        <v>0</v>
      </c>
      <c r="L30" s="5">
        <v>0.7</v>
      </c>
      <c r="M30" s="4">
        <f t="shared" si="0"/>
        <v>4</v>
      </c>
      <c r="N30" s="4">
        <f t="shared" si="1"/>
        <v>4</v>
      </c>
      <c r="O30" s="4">
        <f t="shared" si="2"/>
        <v>0</v>
      </c>
      <c r="P30" s="4">
        <f t="shared" si="4"/>
        <v>3</v>
      </c>
    </row>
    <row r="31" spans="1:16" x14ac:dyDescent="0.25">
      <c r="A31" t="s">
        <v>150</v>
      </c>
      <c r="B31" t="s">
        <v>35</v>
      </c>
      <c r="C31" t="s">
        <v>37</v>
      </c>
      <c r="D31" t="s">
        <v>151</v>
      </c>
      <c r="E31" t="s">
        <v>152</v>
      </c>
      <c r="F31" t="s">
        <v>40</v>
      </c>
      <c r="G31" t="s">
        <v>370</v>
      </c>
      <c r="H31" t="s">
        <v>358</v>
      </c>
      <c r="I31" s="5">
        <v>1</v>
      </c>
      <c r="J31" s="5">
        <v>1</v>
      </c>
      <c r="K31" s="5">
        <v>0</v>
      </c>
      <c r="L31" s="5">
        <v>0.7</v>
      </c>
      <c r="M31" s="4">
        <f t="shared" si="0"/>
        <v>4</v>
      </c>
      <c r="N31" s="4">
        <f t="shared" si="1"/>
        <v>4</v>
      </c>
      <c r="O31" s="4">
        <f t="shared" si="2"/>
        <v>0</v>
      </c>
      <c r="P31" s="4">
        <f t="shared" si="4"/>
        <v>3</v>
      </c>
    </row>
    <row r="32" spans="1:16" x14ac:dyDescent="0.25">
      <c r="A32" t="s">
        <v>153</v>
      </c>
      <c r="B32" t="s">
        <v>35</v>
      </c>
      <c r="C32" t="s">
        <v>154</v>
      </c>
      <c r="D32" t="s">
        <v>155</v>
      </c>
      <c r="E32" t="s">
        <v>156</v>
      </c>
      <c r="F32" t="s">
        <v>157</v>
      </c>
      <c r="G32" t="s">
        <v>360</v>
      </c>
      <c r="H32" t="s">
        <v>362</v>
      </c>
      <c r="I32" s="5">
        <v>1</v>
      </c>
      <c r="J32" s="5">
        <v>1</v>
      </c>
      <c r="K32" s="5">
        <v>0</v>
      </c>
      <c r="L32" s="5">
        <v>0.7</v>
      </c>
      <c r="M32" s="4">
        <f t="shared" si="0"/>
        <v>4</v>
      </c>
      <c r="N32" s="4">
        <f t="shared" si="1"/>
        <v>4</v>
      </c>
      <c r="O32" s="4">
        <f t="shared" si="2"/>
        <v>0</v>
      </c>
      <c r="P32" s="4">
        <f t="shared" si="4"/>
        <v>3</v>
      </c>
    </row>
    <row r="33" spans="1:16" x14ac:dyDescent="0.25">
      <c r="A33" t="s">
        <v>158</v>
      </c>
      <c r="B33" t="s">
        <v>35</v>
      </c>
      <c r="C33" t="s">
        <v>91</v>
      </c>
      <c r="D33" t="s">
        <v>159</v>
      </c>
      <c r="E33" t="s">
        <v>160</v>
      </c>
      <c r="F33" t="s">
        <v>94</v>
      </c>
      <c r="G33" t="s">
        <v>361</v>
      </c>
      <c r="H33" t="s">
        <v>367</v>
      </c>
      <c r="I33" s="5">
        <v>1</v>
      </c>
      <c r="J33" s="5">
        <v>1</v>
      </c>
      <c r="K33" s="5">
        <v>0</v>
      </c>
      <c r="L33" s="5">
        <v>0.7</v>
      </c>
      <c r="M33" s="4">
        <f t="shared" si="0"/>
        <v>4</v>
      </c>
      <c r="N33" s="4">
        <f t="shared" si="1"/>
        <v>4</v>
      </c>
      <c r="O33" s="4">
        <f t="shared" si="2"/>
        <v>0</v>
      </c>
      <c r="P33" s="4">
        <f t="shared" si="4"/>
        <v>3</v>
      </c>
    </row>
    <row r="34" spans="1:16" x14ac:dyDescent="0.25">
      <c r="A34" t="s">
        <v>161</v>
      </c>
      <c r="B34" t="s">
        <v>35</v>
      </c>
      <c r="C34" t="s">
        <v>110</v>
      </c>
      <c r="D34" t="s">
        <v>19</v>
      </c>
      <c r="E34" t="s">
        <v>162</v>
      </c>
      <c r="F34" t="s">
        <v>112</v>
      </c>
      <c r="G34" t="s">
        <v>369</v>
      </c>
      <c r="H34" t="s">
        <v>359</v>
      </c>
      <c r="I34" s="5">
        <v>1</v>
      </c>
      <c r="J34" s="5">
        <v>1</v>
      </c>
      <c r="K34" s="5">
        <v>0</v>
      </c>
      <c r="L34" s="5">
        <v>0.7</v>
      </c>
      <c r="M34" s="4">
        <f t="shared" ref="M34:M65" si="5">IF(I34=1,4,IF(I34=0.7,3,IF(I34=0.35,2,IF(I34=0.1,1,0))))</f>
        <v>4</v>
      </c>
      <c r="N34" s="4">
        <f t="shared" ref="N34:N65" si="6">IF(J34=1,4,IF(J34=0.7,3,IF(J34=0.35,2,IF(J34=0.1,1,0))))</f>
        <v>4</v>
      </c>
      <c r="O34" s="4">
        <f t="shared" ref="O34:O65" si="7">IF(K34=1,4,IF(K34=0.7,3,IF(K34=0.35,2,IF(K34=0.1,1,0))))</f>
        <v>0</v>
      </c>
      <c r="P34" s="4">
        <f t="shared" si="4"/>
        <v>3</v>
      </c>
    </row>
    <row r="35" spans="1:16" x14ac:dyDescent="0.25">
      <c r="A35" t="s">
        <v>163</v>
      </c>
      <c r="B35" t="s">
        <v>35</v>
      </c>
      <c r="C35" t="s">
        <v>164</v>
      </c>
      <c r="D35" t="s">
        <v>165</v>
      </c>
      <c r="E35" t="s">
        <v>156</v>
      </c>
      <c r="F35" t="s">
        <v>166</v>
      </c>
      <c r="G35" t="s">
        <v>364</v>
      </c>
      <c r="H35" t="s">
        <v>362</v>
      </c>
      <c r="I35" s="5">
        <v>1</v>
      </c>
      <c r="J35" s="5">
        <v>1</v>
      </c>
      <c r="K35" s="5">
        <v>0</v>
      </c>
      <c r="L35" s="5">
        <v>0.7</v>
      </c>
      <c r="M35" s="4">
        <f t="shared" si="5"/>
        <v>4</v>
      </c>
      <c r="N35" s="4">
        <f t="shared" si="6"/>
        <v>4</v>
      </c>
      <c r="O35" s="4">
        <f t="shared" si="7"/>
        <v>0</v>
      </c>
      <c r="P35" s="4">
        <f t="shared" si="4"/>
        <v>3</v>
      </c>
    </row>
    <row r="36" spans="1:16" x14ac:dyDescent="0.25">
      <c r="A36" t="s">
        <v>167</v>
      </c>
      <c r="B36" t="s">
        <v>35</v>
      </c>
      <c r="C36" t="s">
        <v>37</v>
      </c>
      <c r="D36" t="s">
        <v>168</v>
      </c>
      <c r="E36" t="s">
        <v>169</v>
      </c>
      <c r="F36" t="s">
        <v>40</v>
      </c>
      <c r="G36" t="s">
        <v>363</v>
      </c>
      <c r="H36" t="s">
        <v>357</v>
      </c>
      <c r="I36" s="5">
        <v>1</v>
      </c>
      <c r="J36" s="5">
        <v>0.7</v>
      </c>
      <c r="K36" s="5">
        <v>0</v>
      </c>
      <c r="L36" s="5">
        <v>0.7</v>
      </c>
      <c r="M36" s="4">
        <f t="shared" si="5"/>
        <v>4</v>
      </c>
      <c r="N36" s="4">
        <f t="shared" si="6"/>
        <v>3</v>
      </c>
      <c r="O36" s="4">
        <f t="shared" si="7"/>
        <v>0</v>
      </c>
      <c r="P36" s="4">
        <f t="shared" si="4"/>
        <v>3</v>
      </c>
    </row>
    <row r="37" spans="1:16" x14ac:dyDescent="0.25">
      <c r="A37" t="s">
        <v>170</v>
      </c>
      <c r="B37" t="s">
        <v>35</v>
      </c>
      <c r="C37" t="s">
        <v>171</v>
      </c>
      <c r="D37" t="s">
        <v>28</v>
      </c>
      <c r="E37" t="s">
        <v>172</v>
      </c>
      <c r="F37" t="s">
        <v>173</v>
      </c>
      <c r="G37" t="s">
        <v>370</v>
      </c>
      <c r="H37" t="s">
        <v>362</v>
      </c>
      <c r="I37" s="5">
        <v>1</v>
      </c>
      <c r="J37" s="5">
        <v>1</v>
      </c>
      <c r="K37" s="5">
        <v>0</v>
      </c>
      <c r="L37" s="5">
        <v>0.7</v>
      </c>
      <c r="M37" s="4">
        <f t="shared" si="5"/>
        <v>4</v>
      </c>
      <c r="N37" s="4">
        <f t="shared" si="6"/>
        <v>4</v>
      </c>
      <c r="O37" s="4">
        <f t="shared" si="7"/>
        <v>0</v>
      </c>
      <c r="P37" s="4">
        <f t="shared" si="4"/>
        <v>3</v>
      </c>
    </row>
    <row r="38" spans="1:16" x14ac:dyDescent="0.25">
      <c r="A38" t="s">
        <v>174</v>
      </c>
      <c r="B38" t="s">
        <v>35</v>
      </c>
      <c r="C38" t="s">
        <v>175</v>
      </c>
      <c r="D38" t="s">
        <v>176</v>
      </c>
      <c r="E38" t="s">
        <v>177</v>
      </c>
      <c r="F38" t="s">
        <v>178</v>
      </c>
      <c r="G38" t="s">
        <v>361</v>
      </c>
      <c r="H38" t="s">
        <v>359</v>
      </c>
      <c r="I38" s="5">
        <v>1</v>
      </c>
      <c r="J38" s="5">
        <v>0.7</v>
      </c>
      <c r="K38" s="5">
        <v>0</v>
      </c>
      <c r="L38" s="5">
        <v>0.7</v>
      </c>
      <c r="M38" s="4">
        <f t="shared" si="5"/>
        <v>4</v>
      </c>
      <c r="N38" s="4">
        <f t="shared" si="6"/>
        <v>3</v>
      </c>
      <c r="O38" s="4">
        <f t="shared" si="7"/>
        <v>0</v>
      </c>
      <c r="P38" s="4">
        <f t="shared" si="4"/>
        <v>3</v>
      </c>
    </row>
    <row r="39" spans="1:16" x14ac:dyDescent="0.25">
      <c r="A39" t="s">
        <v>179</v>
      </c>
      <c r="B39" t="s">
        <v>35</v>
      </c>
      <c r="C39" t="s">
        <v>180</v>
      </c>
      <c r="D39" t="s">
        <v>181</v>
      </c>
      <c r="E39" t="s">
        <v>182</v>
      </c>
      <c r="F39" t="s">
        <v>183</v>
      </c>
      <c r="G39" t="s">
        <v>364</v>
      </c>
      <c r="H39" t="s">
        <v>362</v>
      </c>
      <c r="I39" s="5">
        <v>1</v>
      </c>
      <c r="J39" s="5">
        <v>0.7</v>
      </c>
      <c r="K39" s="5">
        <v>0</v>
      </c>
      <c r="L39" s="5">
        <v>0.7</v>
      </c>
      <c r="M39" s="4">
        <f t="shared" si="5"/>
        <v>4</v>
      </c>
      <c r="N39" s="4">
        <f t="shared" si="6"/>
        <v>3</v>
      </c>
      <c r="O39" s="4">
        <f t="shared" si="7"/>
        <v>0</v>
      </c>
      <c r="P39" s="4">
        <f t="shared" si="4"/>
        <v>3</v>
      </c>
    </row>
    <row r="40" spans="1:16" x14ac:dyDescent="0.25">
      <c r="A40" t="s">
        <v>185</v>
      </c>
      <c r="B40" t="s">
        <v>184</v>
      </c>
      <c r="C40" t="s">
        <v>164</v>
      </c>
      <c r="D40" t="s">
        <v>186</v>
      </c>
      <c r="E40" t="s">
        <v>187</v>
      </c>
      <c r="F40" t="s">
        <v>166</v>
      </c>
      <c r="G40" t="s">
        <v>364</v>
      </c>
      <c r="H40" t="s">
        <v>362</v>
      </c>
      <c r="I40" s="5">
        <v>1</v>
      </c>
      <c r="J40" s="5">
        <v>1</v>
      </c>
      <c r="K40" s="5">
        <v>0</v>
      </c>
      <c r="L40" s="5">
        <v>0.7</v>
      </c>
      <c r="M40" s="4">
        <f t="shared" si="5"/>
        <v>4</v>
      </c>
      <c r="N40" s="4">
        <f t="shared" si="6"/>
        <v>4</v>
      </c>
      <c r="O40" s="4">
        <f t="shared" si="7"/>
        <v>0</v>
      </c>
      <c r="P40" s="4">
        <f t="shared" si="4"/>
        <v>3</v>
      </c>
    </row>
    <row r="41" spans="1:16" x14ac:dyDescent="0.25">
      <c r="A41" t="s">
        <v>188</v>
      </c>
      <c r="B41" t="s">
        <v>35</v>
      </c>
      <c r="C41" t="s">
        <v>171</v>
      </c>
      <c r="D41" t="s">
        <v>23</v>
      </c>
      <c r="E41" t="s">
        <v>189</v>
      </c>
      <c r="F41" t="s">
        <v>173</v>
      </c>
      <c r="G41" t="s">
        <v>363</v>
      </c>
      <c r="H41" t="s">
        <v>362</v>
      </c>
      <c r="I41" s="5">
        <v>1</v>
      </c>
      <c r="J41" s="5">
        <v>1</v>
      </c>
      <c r="K41" s="5">
        <v>0</v>
      </c>
      <c r="L41" s="5">
        <v>0.7</v>
      </c>
      <c r="M41" s="4">
        <f t="shared" si="5"/>
        <v>4</v>
      </c>
      <c r="N41" s="4">
        <f t="shared" si="6"/>
        <v>4</v>
      </c>
      <c r="O41" s="4">
        <f t="shared" si="7"/>
        <v>0</v>
      </c>
      <c r="P41" s="4">
        <f t="shared" si="4"/>
        <v>3</v>
      </c>
    </row>
    <row r="42" spans="1:16" x14ac:dyDescent="0.25">
      <c r="A42" t="s">
        <v>190</v>
      </c>
      <c r="B42" t="s">
        <v>35</v>
      </c>
      <c r="C42" t="s">
        <v>37</v>
      </c>
      <c r="D42" t="s">
        <v>191</v>
      </c>
      <c r="E42" t="s">
        <v>192</v>
      </c>
      <c r="F42" t="s">
        <v>40</v>
      </c>
      <c r="G42" t="s">
        <v>369</v>
      </c>
      <c r="H42" t="s">
        <v>362</v>
      </c>
      <c r="I42" s="5">
        <v>1</v>
      </c>
      <c r="J42" s="5">
        <v>1</v>
      </c>
      <c r="K42" s="5">
        <v>0</v>
      </c>
      <c r="L42" s="5">
        <v>0.7</v>
      </c>
      <c r="M42" s="4">
        <f t="shared" si="5"/>
        <v>4</v>
      </c>
      <c r="N42" s="4">
        <f t="shared" si="6"/>
        <v>4</v>
      </c>
      <c r="O42" s="4">
        <f t="shared" si="7"/>
        <v>0</v>
      </c>
      <c r="P42" s="4">
        <f t="shared" si="4"/>
        <v>3</v>
      </c>
    </row>
    <row r="43" spans="1:16" x14ac:dyDescent="0.25">
      <c r="A43" t="s">
        <v>193</v>
      </c>
      <c r="B43" t="s">
        <v>35</v>
      </c>
      <c r="C43" t="s">
        <v>37</v>
      </c>
      <c r="D43" t="s">
        <v>194</v>
      </c>
      <c r="E43" t="s">
        <v>195</v>
      </c>
      <c r="F43" t="s">
        <v>81</v>
      </c>
      <c r="G43" t="s">
        <v>370</v>
      </c>
      <c r="H43" t="s">
        <v>367</v>
      </c>
      <c r="I43" s="5">
        <v>1</v>
      </c>
      <c r="J43" s="5">
        <v>1</v>
      </c>
      <c r="K43" s="5">
        <v>0</v>
      </c>
      <c r="L43" s="5">
        <v>0.7</v>
      </c>
      <c r="M43" s="4">
        <f t="shared" si="5"/>
        <v>4</v>
      </c>
      <c r="N43" s="4">
        <f t="shared" si="6"/>
        <v>4</v>
      </c>
      <c r="O43" s="4">
        <f t="shared" si="7"/>
        <v>0</v>
      </c>
      <c r="P43" s="4">
        <f t="shared" si="4"/>
        <v>3</v>
      </c>
    </row>
    <row r="44" spans="1:16" x14ac:dyDescent="0.25">
      <c r="A44" t="s">
        <v>196</v>
      </c>
      <c r="B44" t="s">
        <v>35</v>
      </c>
      <c r="C44" t="s">
        <v>37</v>
      </c>
      <c r="D44" t="s">
        <v>197</v>
      </c>
      <c r="E44" t="s">
        <v>198</v>
      </c>
      <c r="F44" t="s">
        <v>81</v>
      </c>
      <c r="G44" t="s">
        <v>360</v>
      </c>
      <c r="H44" t="s">
        <v>362</v>
      </c>
      <c r="I44" s="5">
        <v>1</v>
      </c>
      <c r="J44" s="5">
        <v>0.7</v>
      </c>
      <c r="K44" s="5">
        <v>0</v>
      </c>
      <c r="L44" s="5">
        <v>0.7</v>
      </c>
      <c r="M44" s="4">
        <f t="shared" si="5"/>
        <v>4</v>
      </c>
      <c r="N44" s="4">
        <f t="shared" si="6"/>
        <v>3</v>
      </c>
      <c r="O44" s="4">
        <f t="shared" si="7"/>
        <v>0</v>
      </c>
      <c r="P44" s="4">
        <f t="shared" si="4"/>
        <v>3</v>
      </c>
    </row>
    <row r="45" spans="1:16" x14ac:dyDescent="0.25">
      <c r="A45" t="s">
        <v>199</v>
      </c>
      <c r="B45" t="s">
        <v>35</v>
      </c>
      <c r="C45" t="s">
        <v>139</v>
      </c>
      <c r="D45" t="s">
        <v>200</v>
      </c>
      <c r="E45" t="s">
        <v>201</v>
      </c>
      <c r="F45" t="s">
        <v>142</v>
      </c>
      <c r="G45" t="s">
        <v>369</v>
      </c>
      <c r="H45" t="s">
        <v>359</v>
      </c>
      <c r="I45" s="5">
        <v>1</v>
      </c>
      <c r="J45" s="5">
        <v>0.7</v>
      </c>
      <c r="K45" s="5">
        <v>0.35</v>
      </c>
      <c r="L45" s="5">
        <v>0.7</v>
      </c>
      <c r="M45" s="4">
        <f t="shared" si="5"/>
        <v>4</v>
      </c>
      <c r="N45" s="4">
        <f t="shared" si="6"/>
        <v>3</v>
      </c>
      <c r="O45" s="4">
        <f t="shared" si="7"/>
        <v>2</v>
      </c>
      <c r="P45" s="4">
        <f t="shared" si="4"/>
        <v>3</v>
      </c>
    </row>
    <row r="46" spans="1:16" x14ac:dyDescent="0.25">
      <c r="A46" t="s">
        <v>202</v>
      </c>
      <c r="B46" t="s">
        <v>35</v>
      </c>
      <c r="C46" t="s">
        <v>37</v>
      </c>
      <c r="D46" t="s">
        <v>203</v>
      </c>
      <c r="E46" t="s">
        <v>204</v>
      </c>
      <c r="F46" t="s">
        <v>81</v>
      </c>
      <c r="G46" t="s">
        <v>360</v>
      </c>
      <c r="H46" t="s">
        <v>357</v>
      </c>
      <c r="I46" s="5">
        <v>1</v>
      </c>
      <c r="J46" s="5">
        <v>0.7</v>
      </c>
      <c r="K46" s="5">
        <v>0</v>
      </c>
      <c r="L46" s="5">
        <v>0.7</v>
      </c>
      <c r="M46" s="4">
        <f t="shared" si="5"/>
        <v>4</v>
      </c>
      <c r="N46" s="4">
        <f t="shared" si="6"/>
        <v>3</v>
      </c>
      <c r="O46" s="4">
        <f t="shared" si="7"/>
        <v>0</v>
      </c>
      <c r="P46" s="4">
        <f t="shared" si="4"/>
        <v>3</v>
      </c>
    </row>
    <row r="47" spans="1:16" x14ac:dyDescent="0.25">
      <c r="A47" t="s">
        <v>205</v>
      </c>
      <c r="B47" t="s">
        <v>35</v>
      </c>
      <c r="C47" t="s">
        <v>85</v>
      </c>
      <c r="D47" t="s">
        <v>15</v>
      </c>
      <c r="E47" t="s">
        <v>206</v>
      </c>
      <c r="F47" t="s">
        <v>87</v>
      </c>
      <c r="G47" t="s">
        <v>363</v>
      </c>
      <c r="H47" t="s">
        <v>358</v>
      </c>
      <c r="I47" s="5">
        <v>1</v>
      </c>
      <c r="J47" s="5">
        <v>0.7</v>
      </c>
      <c r="K47" s="5">
        <v>0</v>
      </c>
      <c r="L47" s="5">
        <v>0.7</v>
      </c>
      <c r="M47" s="4">
        <f t="shared" si="5"/>
        <v>4</v>
      </c>
      <c r="N47" s="4">
        <f t="shared" si="6"/>
        <v>3</v>
      </c>
      <c r="O47" s="4">
        <f t="shared" si="7"/>
        <v>0</v>
      </c>
      <c r="P47" s="4">
        <f t="shared" si="4"/>
        <v>3</v>
      </c>
    </row>
    <row r="48" spans="1:16" x14ac:dyDescent="0.25">
      <c r="A48" t="s">
        <v>207</v>
      </c>
      <c r="B48" t="s">
        <v>35</v>
      </c>
      <c r="C48" t="s">
        <v>171</v>
      </c>
      <c r="D48" t="s">
        <v>22</v>
      </c>
      <c r="E48" t="s">
        <v>208</v>
      </c>
      <c r="F48" t="s">
        <v>173</v>
      </c>
      <c r="G48" t="s">
        <v>372</v>
      </c>
      <c r="H48" t="s">
        <v>373</v>
      </c>
      <c r="I48" s="5">
        <v>1</v>
      </c>
      <c r="J48" s="5">
        <v>0.7</v>
      </c>
      <c r="K48" s="5">
        <v>0</v>
      </c>
      <c r="L48" s="5">
        <v>0.7</v>
      </c>
      <c r="M48" s="4">
        <f t="shared" si="5"/>
        <v>4</v>
      </c>
      <c r="N48" s="4">
        <f t="shared" si="6"/>
        <v>3</v>
      </c>
      <c r="O48" s="4">
        <f t="shared" si="7"/>
        <v>0</v>
      </c>
      <c r="P48" s="4">
        <f t="shared" si="4"/>
        <v>3</v>
      </c>
    </row>
    <row r="49" spans="1:16" x14ac:dyDescent="0.25">
      <c r="A49" t="s">
        <v>209</v>
      </c>
      <c r="B49" t="s">
        <v>35</v>
      </c>
      <c r="C49" t="s">
        <v>210</v>
      </c>
      <c r="D49" t="s">
        <v>211</v>
      </c>
      <c r="E49" t="s">
        <v>212</v>
      </c>
      <c r="F49" t="s">
        <v>213</v>
      </c>
      <c r="G49" t="s">
        <v>369</v>
      </c>
      <c r="H49" t="s">
        <v>359</v>
      </c>
      <c r="I49" s="5">
        <v>0.7</v>
      </c>
      <c r="J49" s="5">
        <v>0.7</v>
      </c>
      <c r="K49" s="5">
        <v>0.7</v>
      </c>
      <c r="L49" s="5">
        <v>1</v>
      </c>
      <c r="M49" s="4">
        <f t="shared" si="5"/>
        <v>3</v>
      </c>
      <c r="N49" s="4">
        <f t="shared" si="6"/>
        <v>3</v>
      </c>
      <c r="O49" s="4">
        <f t="shared" si="7"/>
        <v>3</v>
      </c>
      <c r="P49" s="4">
        <f t="shared" si="4"/>
        <v>4</v>
      </c>
    </row>
    <row r="50" spans="1:16" x14ac:dyDescent="0.25">
      <c r="A50" t="s">
        <v>214</v>
      </c>
      <c r="B50" t="s">
        <v>35</v>
      </c>
      <c r="C50" t="s">
        <v>139</v>
      </c>
      <c r="D50" t="s">
        <v>30</v>
      </c>
      <c r="E50" t="s">
        <v>215</v>
      </c>
      <c r="F50" t="s">
        <v>142</v>
      </c>
      <c r="G50" t="s">
        <v>372</v>
      </c>
      <c r="H50" t="s">
        <v>373</v>
      </c>
      <c r="I50" s="5">
        <v>1</v>
      </c>
      <c r="J50" s="5">
        <v>0.7</v>
      </c>
      <c r="K50" s="5">
        <v>0.1</v>
      </c>
      <c r="L50" s="5">
        <v>0.7</v>
      </c>
      <c r="M50" s="4">
        <f t="shared" si="5"/>
        <v>4</v>
      </c>
      <c r="N50" s="4">
        <f t="shared" si="6"/>
        <v>3</v>
      </c>
      <c r="O50" s="4">
        <f t="shared" si="7"/>
        <v>1</v>
      </c>
      <c r="P50" s="4">
        <f t="shared" ref="P50:P72" si="8">IF(L50=1,4,IF(L50=0.7,3,IF(L50=0.35,2,IF(L50=0.1,1,0))))</f>
        <v>3</v>
      </c>
    </row>
    <row r="51" spans="1:16" x14ac:dyDescent="0.25">
      <c r="A51" t="s">
        <v>216</v>
      </c>
      <c r="B51" t="s">
        <v>35</v>
      </c>
      <c r="C51" t="s">
        <v>117</v>
      </c>
      <c r="D51" t="s">
        <v>217</v>
      </c>
      <c r="E51" t="s">
        <v>208</v>
      </c>
      <c r="F51" t="s">
        <v>120</v>
      </c>
      <c r="G51" t="s">
        <v>372</v>
      </c>
      <c r="H51" t="s">
        <v>373</v>
      </c>
      <c r="I51" s="5">
        <v>0.7</v>
      </c>
      <c r="J51" s="5">
        <v>1</v>
      </c>
      <c r="K51" s="5">
        <v>0</v>
      </c>
      <c r="L51" s="5">
        <v>0.7</v>
      </c>
      <c r="M51" s="4">
        <f t="shared" si="5"/>
        <v>3</v>
      </c>
      <c r="N51" s="4">
        <f t="shared" si="6"/>
        <v>4</v>
      </c>
      <c r="O51" s="4">
        <f t="shared" si="7"/>
        <v>0</v>
      </c>
      <c r="P51" s="4">
        <f t="shared" si="8"/>
        <v>3</v>
      </c>
    </row>
    <row r="52" spans="1:16" x14ac:dyDescent="0.25">
      <c r="A52" t="s">
        <v>218</v>
      </c>
      <c r="B52" t="s">
        <v>35</v>
      </c>
      <c r="C52" t="s">
        <v>219</v>
      </c>
      <c r="D52" t="s">
        <v>29</v>
      </c>
      <c r="E52" t="s">
        <v>220</v>
      </c>
      <c r="F52" t="s">
        <v>221</v>
      </c>
      <c r="G52" t="s">
        <v>372</v>
      </c>
      <c r="H52" t="s">
        <v>373</v>
      </c>
      <c r="I52" s="5">
        <v>0.7</v>
      </c>
      <c r="J52" s="5">
        <v>1</v>
      </c>
      <c r="K52" s="5">
        <v>0</v>
      </c>
      <c r="L52" s="5">
        <v>0.7</v>
      </c>
      <c r="M52" s="4">
        <f t="shared" si="5"/>
        <v>3</v>
      </c>
      <c r="N52" s="4">
        <f t="shared" si="6"/>
        <v>4</v>
      </c>
      <c r="O52" s="4">
        <f t="shared" si="7"/>
        <v>0</v>
      </c>
      <c r="P52" s="4">
        <f t="shared" si="8"/>
        <v>3</v>
      </c>
    </row>
    <row r="53" spans="1:16" x14ac:dyDescent="0.25">
      <c r="A53" t="s">
        <v>222</v>
      </c>
      <c r="B53" t="s">
        <v>35</v>
      </c>
      <c r="C53" t="s">
        <v>130</v>
      </c>
      <c r="D53" t="s">
        <v>223</v>
      </c>
      <c r="E53" t="s">
        <v>224</v>
      </c>
      <c r="F53" t="s">
        <v>133</v>
      </c>
      <c r="G53" t="s">
        <v>372</v>
      </c>
      <c r="H53" t="s">
        <v>373</v>
      </c>
      <c r="I53" s="5">
        <v>1</v>
      </c>
      <c r="J53" s="5">
        <v>0.7</v>
      </c>
      <c r="K53" s="5">
        <v>0</v>
      </c>
      <c r="L53" s="5">
        <v>0.7</v>
      </c>
      <c r="M53" s="4">
        <f t="shared" si="5"/>
        <v>4</v>
      </c>
      <c r="N53" s="4">
        <f t="shared" si="6"/>
        <v>3</v>
      </c>
      <c r="O53" s="4">
        <f t="shared" si="7"/>
        <v>0</v>
      </c>
      <c r="P53" s="4">
        <f t="shared" si="8"/>
        <v>3</v>
      </c>
    </row>
    <row r="54" spans="1:16" x14ac:dyDescent="0.25">
      <c r="A54" t="s">
        <v>225</v>
      </c>
      <c r="B54" t="s">
        <v>35</v>
      </c>
      <c r="C54" t="s">
        <v>91</v>
      </c>
      <c r="D54" t="s">
        <v>226</v>
      </c>
      <c r="E54" t="s">
        <v>227</v>
      </c>
      <c r="F54" t="s">
        <v>94</v>
      </c>
      <c r="G54" t="s">
        <v>361</v>
      </c>
      <c r="H54" t="s">
        <v>357</v>
      </c>
      <c r="I54" s="5">
        <v>1</v>
      </c>
      <c r="J54" s="5">
        <v>0.7</v>
      </c>
      <c r="K54" s="5">
        <v>0</v>
      </c>
      <c r="L54" s="5">
        <v>0.7</v>
      </c>
      <c r="M54" s="4">
        <f t="shared" si="5"/>
        <v>4</v>
      </c>
      <c r="N54" s="4">
        <f t="shared" si="6"/>
        <v>3</v>
      </c>
      <c r="O54" s="4">
        <f t="shared" si="7"/>
        <v>0</v>
      </c>
      <c r="P54" s="4">
        <f t="shared" si="8"/>
        <v>3</v>
      </c>
    </row>
    <row r="55" spans="1:16" x14ac:dyDescent="0.25">
      <c r="A55" t="s">
        <v>228</v>
      </c>
      <c r="B55" t="s">
        <v>35</v>
      </c>
      <c r="C55" t="s">
        <v>229</v>
      </c>
      <c r="D55" t="s">
        <v>230</v>
      </c>
      <c r="E55" t="s">
        <v>231</v>
      </c>
      <c r="F55" t="s">
        <v>232</v>
      </c>
      <c r="G55" t="s">
        <v>363</v>
      </c>
      <c r="H55" t="s">
        <v>359</v>
      </c>
      <c r="I55" s="5">
        <v>1</v>
      </c>
      <c r="J55" s="5">
        <v>1</v>
      </c>
      <c r="K55" s="5">
        <v>0</v>
      </c>
      <c r="L55" s="5">
        <v>0.35</v>
      </c>
      <c r="M55" s="4">
        <f t="shared" si="5"/>
        <v>4</v>
      </c>
      <c r="N55" s="4">
        <f t="shared" si="6"/>
        <v>4</v>
      </c>
      <c r="O55" s="4">
        <f t="shared" si="7"/>
        <v>0</v>
      </c>
      <c r="P55" s="4">
        <f t="shared" si="8"/>
        <v>2</v>
      </c>
    </row>
    <row r="56" spans="1:16" x14ac:dyDescent="0.25">
      <c r="A56" t="s">
        <v>233</v>
      </c>
      <c r="B56" t="s">
        <v>35</v>
      </c>
      <c r="C56" t="s">
        <v>234</v>
      </c>
      <c r="D56" t="s">
        <v>235</v>
      </c>
      <c r="E56" t="s">
        <v>236</v>
      </c>
      <c r="F56" t="s">
        <v>237</v>
      </c>
      <c r="G56" t="s">
        <v>372</v>
      </c>
      <c r="H56" t="s">
        <v>373</v>
      </c>
      <c r="I56" s="5">
        <v>0.7</v>
      </c>
      <c r="J56" s="5">
        <v>1</v>
      </c>
      <c r="K56" s="5">
        <v>0</v>
      </c>
      <c r="L56" s="5">
        <v>0.7</v>
      </c>
      <c r="M56" s="4">
        <f t="shared" si="5"/>
        <v>3</v>
      </c>
      <c r="N56" s="4">
        <f t="shared" si="6"/>
        <v>4</v>
      </c>
      <c r="O56" s="4">
        <f t="shared" si="7"/>
        <v>0</v>
      </c>
      <c r="P56" s="4">
        <f t="shared" si="8"/>
        <v>3</v>
      </c>
    </row>
    <row r="57" spans="1:16" x14ac:dyDescent="0.25">
      <c r="A57" t="s">
        <v>238</v>
      </c>
      <c r="B57" t="s">
        <v>35</v>
      </c>
      <c r="C57" t="s">
        <v>239</v>
      </c>
      <c r="D57" t="s">
        <v>18</v>
      </c>
      <c r="E57" t="s">
        <v>240</v>
      </c>
      <c r="F57" t="s">
        <v>241</v>
      </c>
      <c r="G57" t="s">
        <v>368</v>
      </c>
      <c r="H57" t="s">
        <v>359</v>
      </c>
      <c r="I57" s="5">
        <v>0.7</v>
      </c>
      <c r="J57" s="5">
        <v>1</v>
      </c>
      <c r="K57" s="5">
        <v>0.1</v>
      </c>
      <c r="L57" s="5">
        <v>0.7</v>
      </c>
      <c r="M57" s="4">
        <f t="shared" si="5"/>
        <v>3</v>
      </c>
      <c r="N57" s="4">
        <f t="shared" si="6"/>
        <v>4</v>
      </c>
      <c r="O57" s="4">
        <f t="shared" si="7"/>
        <v>1</v>
      </c>
      <c r="P57" s="4">
        <f t="shared" si="8"/>
        <v>3</v>
      </c>
    </row>
    <row r="58" spans="1:16" x14ac:dyDescent="0.25">
      <c r="A58" t="s">
        <v>242</v>
      </c>
      <c r="B58" t="s">
        <v>35</v>
      </c>
      <c r="C58" t="s">
        <v>85</v>
      </c>
      <c r="D58" t="s">
        <v>10</v>
      </c>
      <c r="E58" t="s">
        <v>243</v>
      </c>
      <c r="F58" t="s">
        <v>87</v>
      </c>
      <c r="G58" t="s">
        <v>370</v>
      </c>
      <c r="H58" t="s">
        <v>367</v>
      </c>
      <c r="I58" s="5">
        <v>0.7</v>
      </c>
      <c r="J58" s="5">
        <v>1</v>
      </c>
      <c r="K58" s="5">
        <v>0</v>
      </c>
      <c r="L58" s="5">
        <v>0.7</v>
      </c>
      <c r="M58" s="4">
        <f t="shared" si="5"/>
        <v>3</v>
      </c>
      <c r="N58" s="4">
        <f t="shared" si="6"/>
        <v>4</v>
      </c>
      <c r="O58" s="4">
        <f t="shared" si="7"/>
        <v>0</v>
      </c>
      <c r="P58" s="4">
        <f t="shared" si="8"/>
        <v>3</v>
      </c>
    </row>
    <row r="59" spans="1:16" x14ac:dyDescent="0.25">
      <c r="A59" t="s">
        <v>244</v>
      </c>
      <c r="B59" t="s">
        <v>35</v>
      </c>
      <c r="C59" t="s">
        <v>245</v>
      </c>
      <c r="D59" t="s">
        <v>246</v>
      </c>
      <c r="E59" t="s">
        <v>247</v>
      </c>
      <c r="F59" t="s">
        <v>248</v>
      </c>
      <c r="G59" t="s">
        <v>374</v>
      </c>
      <c r="H59" t="s">
        <v>362</v>
      </c>
      <c r="I59" s="5">
        <v>0.7</v>
      </c>
      <c r="J59" s="5">
        <v>1</v>
      </c>
      <c r="K59" s="5">
        <v>0</v>
      </c>
      <c r="L59" s="5">
        <v>0.7</v>
      </c>
      <c r="M59" s="4">
        <f t="shared" si="5"/>
        <v>3</v>
      </c>
      <c r="N59" s="4">
        <f t="shared" si="6"/>
        <v>4</v>
      </c>
      <c r="O59" s="4">
        <f t="shared" si="7"/>
        <v>0</v>
      </c>
      <c r="P59" s="4">
        <f t="shared" si="8"/>
        <v>3</v>
      </c>
    </row>
    <row r="60" spans="1:16" x14ac:dyDescent="0.25">
      <c r="A60" t="s">
        <v>249</v>
      </c>
      <c r="B60" t="s">
        <v>35</v>
      </c>
      <c r="C60" t="s">
        <v>110</v>
      </c>
      <c r="D60" t="s">
        <v>21</v>
      </c>
      <c r="E60" t="s">
        <v>250</v>
      </c>
      <c r="F60" t="s">
        <v>112</v>
      </c>
      <c r="G60" t="s">
        <v>370</v>
      </c>
      <c r="H60" t="s">
        <v>373</v>
      </c>
      <c r="I60" s="5">
        <v>0.7</v>
      </c>
      <c r="J60" s="5">
        <v>0.7</v>
      </c>
      <c r="K60" s="5">
        <v>0</v>
      </c>
      <c r="L60" s="5">
        <v>1</v>
      </c>
      <c r="M60" s="4">
        <f t="shared" si="5"/>
        <v>3</v>
      </c>
      <c r="N60" s="4">
        <f t="shared" si="6"/>
        <v>3</v>
      </c>
      <c r="O60" s="4">
        <f t="shared" si="7"/>
        <v>0</v>
      </c>
      <c r="P60" s="4">
        <f t="shared" si="8"/>
        <v>4</v>
      </c>
    </row>
    <row r="61" spans="1:16" x14ac:dyDescent="0.25">
      <c r="A61" t="s">
        <v>251</v>
      </c>
      <c r="B61" t="s">
        <v>35</v>
      </c>
      <c r="C61" t="s">
        <v>219</v>
      </c>
      <c r="D61" t="s">
        <v>252</v>
      </c>
      <c r="E61" t="s">
        <v>208</v>
      </c>
      <c r="F61" t="s">
        <v>221</v>
      </c>
      <c r="G61" t="s">
        <v>372</v>
      </c>
      <c r="H61" t="s">
        <v>373</v>
      </c>
      <c r="I61" s="5">
        <v>0.7</v>
      </c>
      <c r="J61" s="5">
        <v>0.7</v>
      </c>
      <c r="K61" s="5">
        <v>0</v>
      </c>
      <c r="L61" s="5">
        <v>0.7</v>
      </c>
      <c r="M61" s="4">
        <f t="shared" si="5"/>
        <v>3</v>
      </c>
      <c r="N61" s="4">
        <f t="shared" si="6"/>
        <v>3</v>
      </c>
      <c r="O61" s="4">
        <f t="shared" si="7"/>
        <v>0</v>
      </c>
      <c r="P61" s="4">
        <f t="shared" si="8"/>
        <v>3</v>
      </c>
    </row>
    <row r="62" spans="1:16" x14ac:dyDescent="0.25">
      <c r="A62" t="s">
        <v>253</v>
      </c>
      <c r="B62" t="s">
        <v>35</v>
      </c>
      <c r="C62" t="s">
        <v>245</v>
      </c>
      <c r="D62" t="s">
        <v>13</v>
      </c>
      <c r="E62" t="s">
        <v>254</v>
      </c>
      <c r="F62" t="s">
        <v>248</v>
      </c>
      <c r="G62" t="s">
        <v>374</v>
      </c>
      <c r="H62" t="s">
        <v>362</v>
      </c>
      <c r="I62" s="5">
        <v>0.7</v>
      </c>
      <c r="J62" s="5">
        <v>0.7</v>
      </c>
      <c r="K62" s="5">
        <v>0</v>
      </c>
      <c r="L62" s="5">
        <v>0.7</v>
      </c>
      <c r="M62" s="4">
        <f t="shared" si="5"/>
        <v>3</v>
      </c>
      <c r="N62" s="4">
        <f t="shared" si="6"/>
        <v>3</v>
      </c>
      <c r="O62" s="4">
        <f t="shared" si="7"/>
        <v>0</v>
      </c>
      <c r="P62" s="4">
        <f t="shared" si="8"/>
        <v>3</v>
      </c>
    </row>
    <row r="63" spans="1:16" x14ac:dyDescent="0.25">
      <c r="A63" t="s">
        <v>255</v>
      </c>
      <c r="B63" t="s">
        <v>35</v>
      </c>
      <c r="C63" t="s">
        <v>239</v>
      </c>
      <c r="D63" t="s">
        <v>17</v>
      </c>
      <c r="E63" t="s">
        <v>256</v>
      </c>
      <c r="F63" t="s">
        <v>241</v>
      </c>
      <c r="G63" t="s">
        <v>372</v>
      </c>
      <c r="H63" t="s">
        <v>373</v>
      </c>
      <c r="I63" s="5">
        <v>0.7</v>
      </c>
      <c r="J63" s="5">
        <v>0.7</v>
      </c>
      <c r="K63" s="5">
        <v>0</v>
      </c>
      <c r="L63" s="5">
        <v>0.7</v>
      </c>
      <c r="M63" s="4">
        <f t="shared" si="5"/>
        <v>3</v>
      </c>
      <c r="N63" s="4">
        <f t="shared" si="6"/>
        <v>3</v>
      </c>
      <c r="O63" s="4">
        <f t="shared" si="7"/>
        <v>0</v>
      </c>
      <c r="P63" s="4">
        <f t="shared" si="8"/>
        <v>3</v>
      </c>
    </row>
    <row r="64" spans="1:16" x14ac:dyDescent="0.25">
      <c r="A64" t="s">
        <v>257</v>
      </c>
      <c r="B64" t="s">
        <v>35</v>
      </c>
      <c r="C64" t="s">
        <v>258</v>
      </c>
      <c r="D64" t="s">
        <v>259</v>
      </c>
      <c r="E64" t="s">
        <v>260</v>
      </c>
      <c r="F64" t="s">
        <v>261</v>
      </c>
      <c r="G64" t="s">
        <v>361</v>
      </c>
      <c r="H64" t="s">
        <v>359</v>
      </c>
      <c r="I64" s="5">
        <v>0.7</v>
      </c>
      <c r="J64" s="5">
        <v>0.7</v>
      </c>
      <c r="K64" s="5">
        <v>0</v>
      </c>
      <c r="L64" s="5">
        <v>0.7</v>
      </c>
      <c r="M64" s="4">
        <f t="shared" si="5"/>
        <v>3</v>
      </c>
      <c r="N64" s="4">
        <f t="shared" si="6"/>
        <v>3</v>
      </c>
      <c r="O64" s="4">
        <f t="shared" si="7"/>
        <v>0</v>
      </c>
      <c r="P64" s="4">
        <f t="shared" si="8"/>
        <v>3</v>
      </c>
    </row>
    <row r="65" spans="1:16" x14ac:dyDescent="0.25">
      <c r="A65" t="s">
        <v>262</v>
      </c>
      <c r="B65" t="s">
        <v>35</v>
      </c>
      <c r="C65" t="s">
        <v>263</v>
      </c>
      <c r="D65" t="s">
        <v>264</v>
      </c>
      <c r="E65" t="s">
        <v>208</v>
      </c>
      <c r="F65" t="s">
        <v>265</v>
      </c>
      <c r="G65" t="s">
        <v>372</v>
      </c>
      <c r="H65" t="s">
        <v>373</v>
      </c>
      <c r="I65" s="5">
        <v>0.7</v>
      </c>
      <c r="J65" s="5">
        <v>0.7</v>
      </c>
      <c r="K65" s="5">
        <v>0.1</v>
      </c>
      <c r="L65" s="5">
        <v>0.7</v>
      </c>
      <c r="M65" s="4">
        <f t="shared" si="5"/>
        <v>3</v>
      </c>
      <c r="N65" s="4">
        <f t="shared" si="6"/>
        <v>3</v>
      </c>
      <c r="O65" s="4">
        <f t="shared" si="7"/>
        <v>1</v>
      </c>
      <c r="P65" s="4">
        <f t="shared" si="8"/>
        <v>3</v>
      </c>
    </row>
    <row r="66" spans="1:16" x14ac:dyDescent="0.25">
      <c r="A66" t="s">
        <v>266</v>
      </c>
      <c r="B66" t="s">
        <v>35</v>
      </c>
      <c r="C66" t="s">
        <v>267</v>
      </c>
      <c r="D66" t="s">
        <v>268</v>
      </c>
      <c r="E66" t="s">
        <v>269</v>
      </c>
      <c r="F66" t="s">
        <v>270</v>
      </c>
      <c r="G66" t="s">
        <v>372</v>
      </c>
      <c r="H66" t="s">
        <v>373</v>
      </c>
      <c r="I66" s="5">
        <v>0.7</v>
      </c>
      <c r="J66" s="5">
        <v>0.7</v>
      </c>
      <c r="K66" s="5">
        <v>0.7</v>
      </c>
      <c r="L66" s="5">
        <v>0.7</v>
      </c>
      <c r="M66" s="4">
        <f t="shared" ref="M66:M91" si="9">IF(I66=1,4,IF(I66=0.7,3,IF(I66=0.35,2,IF(I66=0.1,1,0))))</f>
        <v>3</v>
      </c>
      <c r="N66" s="4">
        <f t="shared" ref="N66:N91" si="10">IF(J66=1,4,IF(J66=0.7,3,IF(J66=0.35,2,IF(J66=0.1,1,0))))</f>
        <v>3</v>
      </c>
      <c r="O66" s="4">
        <f t="shared" ref="O66:O91" si="11">IF(K66=1,4,IF(K66=0.7,3,IF(K66=0.35,2,IF(K66=0.1,1,0))))</f>
        <v>3</v>
      </c>
      <c r="P66" s="4">
        <f t="shared" si="8"/>
        <v>3</v>
      </c>
    </row>
    <row r="67" spans="1:16" x14ac:dyDescent="0.25">
      <c r="A67" t="s">
        <v>271</v>
      </c>
      <c r="B67" t="s">
        <v>35</v>
      </c>
      <c r="C67" t="s">
        <v>272</v>
      </c>
      <c r="D67" t="s">
        <v>31</v>
      </c>
      <c r="E67" t="s">
        <v>273</v>
      </c>
      <c r="F67" t="s">
        <v>274</v>
      </c>
      <c r="G67" t="s">
        <v>361</v>
      </c>
      <c r="H67" t="s">
        <v>359</v>
      </c>
      <c r="I67" s="5">
        <v>0.7</v>
      </c>
      <c r="J67" s="5">
        <v>1</v>
      </c>
      <c r="K67" s="5">
        <v>0</v>
      </c>
      <c r="L67" s="5">
        <v>0.7</v>
      </c>
      <c r="M67" s="4">
        <f t="shared" si="9"/>
        <v>3</v>
      </c>
      <c r="N67" s="4">
        <f t="shared" si="10"/>
        <v>4</v>
      </c>
      <c r="O67" s="4">
        <f t="shared" si="11"/>
        <v>0</v>
      </c>
      <c r="P67" s="4">
        <f t="shared" si="8"/>
        <v>3</v>
      </c>
    </row>
    <row r="68" spans="1:16" x14ac:dyDescent="0.25">
      <c r="A68" t="s">
        <v>275</v>
      </c>
      <c r="B68" t="s">
        <v>35</v>
      </c>
      <c r="C68" t="s">
        <v>245</v>
      </c>
      <c r="D68" t="s">
        <v>24</v>
      </c>
      <c r="E68" t="s">
        <v>276</v>
      </c>
      <c r="F68" t="s">
        <v>248</v>
      </c>
      <c r="G68" t="s">
        <v>374</v>
      </c>
      <c r="H68" t="s">
        <v>362</v>
      </c>
      <c r="I68" s="5">
        <v>0.7</v>
      </c>
      <c r="J68" s="5">
        <v>0.7</v>
      </c>
      <c r="K68" s="5">
        <v>0</v>
      </c>
      <c r="L68" s="5">
        <v>0.7</v>
      </c>
      <c r="M68" s="4">
        <f t="shared" si="9"/>
        <v>3</v>
      </c>
      <c r="N68" s="4">
        <f t="shared" si="10"/>
        <v>3</v>
      </c>
      <c r="O68" s="4">
        <f t="shared" si="11"/>
        <v>0</v>
      </c>
      <c r="P68" s="4">
        <f t="shared" si="8"/>
        <v>3</v>
      </c>
    </row>
    <row r="69" spans="1:16" x14ac:dyDescent="0.25">
      <c r="A69" t="s">
        <v>277</v>
      </c>
      <c r="B69" t="s">
        <v>35</v>
      </c>
      <c r="C69" t="s">
        <v>154</v>
      </c>
      <c r="D69" t="s">
        <v>278</v>
      </c>
      <c r="E69" t="s">
        <v>279</v>
      </c>
      <c r="F69" t="s">
        <v>157</v>
      </c>
      <c r="G69" t="s">
        <v>372</v>
      </c>
      <c r="H69" t="s">
        <v>359</v>
      </c>
      <c r="I69" s="5">
        <v>0.7</v>
      </c>
      <c r="J69" s="5">
        <v>0.7</v>
      </c>
      <c r="K69" s="5">
        <v>0</v>
      </c>
      <c r="L69" s="5">
        <v>0.7</v>
      </c>
      <c r="M69" s="4">
        <f t="shared" si="9"/>
        <v>3</v>
      </c>
      <c r="N69" s="4">
        <f t="shared" si="10"/>
        <v>3</v>
      </c>
      <c r="O69" s="4">
        <f t="shared" si="11"/>
        <v>0</v>
      </c>
      <c r="P69" s="4">
        <f t="shared" si="8"/>
        <v>3</v>
      </c>
    </row>
    <row r="70" spans="1:16" x14ac:dyDescent="0.25">
      <c r="A70" t="s">
        <v>280</v>
      </c>
      <c r="B70" t="s">
        <v>35</v>
      </c>
      <c r="C70" t="s">
        <v>146</v>
      </c>
      <c r="D70" t="s">
        <v>281</v>
      </c>
      <c r="E70" t="s">
        <v>282</v>
      </c>
      <c r="F70" t="s">
        <v>149</v>
      </c>
      <c r="G70" t="s">
        <v>363</v>
      </c>
      <c r="H70" t="s">
        <v>358</v>
      </c>
      <c r="I70" s="5">
        <v>0.7</v>
      </c>
      <c r="J70" s="5">
        <v>0.7</v>
      </c>
      <c r="K70" s="5">
        <v>0</v>
      </c>
      <c r="L70" s="5">
        <v>0.7</v>
      </c>
      <c r="M70" s="4">
        <f t="shared" si="9"/>
        <v>3</v>
      </c>
      <c r="N70" s="4">
        <f t="shared" si="10"/>
        <v>3</v>
      </c>
      <c r="O70" s="4">
        <f t="shared" si="11"/>
        <v>0</v>
      </c>
      <c r="P70" s="4">
        <f t="shared" si="8"/>
        <v>3</v>
      </c>
    </row>
    <row r="71" spans="1:16" x14ac:dyDescent="0.25">
      <c r="A71" t="s">
        <v>283</v>
      </c>
      <c r="B71" t="s">
        <v>35</v>
      </c>
      <c r="C71" t="s">
        <v>42</v>
      </c>
      <c r="D71" t="s">
        <v>281</v>
      </c>
      <c r="E71" t="s">
        <v>284</v>
      </c>
      <c r="F71" t="s">
        <v>45</v>
      </c>
      <c r="G71" t="s">
        <v>361</v>
      </c>
      <c r="H71" t="s">
        <v>362</v>
      </c>
      <c r="I71" s="5">
        <v>1</v>
      </c>
      <c r="J71" s="5">
        <v>0.35</v>
      </c>
      <c r="K71" s="5">
        <v>0</v>
      </c>
      <c r="L71" s="5">
        <v>0.7</v>
      </c>
      <c r="M71" s="4">
        <f t="shared" si="9"/>
        <v>4</v>
      </c>
      <c r="N71" s="4">
        <f t="shared" si="10"/>
        <v>2</v>
      </c>
      <c r="O71" s="4">
        <f t="shared" si="11"/>
        <v>0</v>
      </c>
      <c r="P71" s="4">
        <f t="shared" si="8"/>
        <v>3</v>
      </c>
    </row>
    <row r="72" spans="1:16" x14ac:dyDescent="0.25">
      <c r="A72" t="s">
        <v>285</v>
      </c>
      <c r="B72" t="s">
        <v>35</v>
      </c>
      <c r="C72" t="s">
        <v>239</v>
      </c>
      <c r="D72" t="s">
        <v>16</v>
      </c>
      <c r="E72" t="s">
        <v>286</v>
      </c>
      <c r="F72" t="s">
        <v>241</v>
      </c>
      <c r="G72" t="s">
        <v>361</v>
      </c>
      <c r="H72" t="s">
        <v>359</v>
      </c>
      <c r="I72" s="5">
        <v>0.7</v>
      </c>
      <c r="J72" s="5">
        <v>1</v>
      </c>
      <c r="K72" s="5">
        <v>0</v>
      </c>
      <c r="L72" s="5">
        <v>0.7</v>
      </c>
      <c r="M72" s="4">
        <f t="shared" si="9"/>
        <v>3</v>
      </c>
      <c r="N72" s="4">
        <f t="shared" si="10"/>
        <v>4</v>
      </c>
      <c r="O72" s="4">
        <f t="shared" si="11"/>
        <v>0</v>
      </c>
      <c r="P72" s="4">
        <f t="shared" si="8"/>
        <v>3</v>
      </c>
    </row>
    <row r="73" spans="1:16" x14ac:dyDescent="0.25">
      <c r="A73" t="s">
        <v>287</v>
      </c>
      <c r="B73" t="s">
        <v>35</v>
      </c>
      <c r="C73" t="s">
        <v>288</v>
      </c>
      <c r="D73" t="s">
        <v>289</v>
      </c>
      <c r="E73" t="s">
        <v>290</v>
      </c>
      <c r="F73" t="s">
        <v>291</v>
      </c>
      <c r="G73" t="s">
        <v>369</v>
      </c>
      <c r="H73" t="s">
        <v>371</v>
      </c>
      <c r="I73" s="5">
        <v>0.7</v>
      </c>
      <c r="J73" s="5">
        <v>1</v>
      </c>
      <c r="K73" s="5">
        <v>0</v>
      </c>
      <c r="L73" s="5">
        <v>0.7</v>
      </c>
      <c r="M73" s="4">
        <f t="shared" si="9"/>
        <v>3</v>
      </c>
      <c r="N73" s="4">
        <f t="shared" si="10"/>
        <v>4</v>
      </c>
      <c r="O73" s="4">
        <f t="shared" si="11"/>
        <v>0</v>
      </c>
      <c r="P73" s="4">
        <f t="shared" ref="P73:P90" si="12">IF(L73=1,4,IF(L73=0.7,3,IF(L73=0.35,2,IF(L73=0.1,1,0))))</f>
        <v>3</v>
      </c>
    </row>
    <row r="74" spans="1:16" x14ac:dyDescent="0.25">
      <c r="A74" t="s">
        <v>292</v>
      </c>
      <c r="B74" t="s">
        <v>35</v>
      </c>
      <c r="C74" t="s">
        <v>293</v>
      </c>
      <c r="D74" t="s">
        <v>294</v>
      </c>
      <c r="E74" t="s">
        <v>295</v>
      </c>
      <c r="F74" t="s">
        <v>296</v>
      </c>
      <c r="G74" t="s">
        <v>372</v>
      </c>
      <c r="H74" t="s">
        <v>373</v>
      </c>
      <c r="I74" s="5">
        <v>0.7</v>
      </c>
      <c r="J74" s="5">
        <v>0.7</v>
      </c>
      <c r="K74" s="5">
        <v>0</v>
      </c>
      <c r="L74" s="5">
        <v>0.7</v>
      </c>
      <c r="M74" s="4">
        <f t="shared" si="9"/>
        <v>3</v>
      </c>
      <c r="N74" s="4">
        <f t="shared" si="10"/>
        <v>3</v>
      </c>
      <c r="O74" s="4">
        <f t="shared" si="11"/>
        <v>0</v>
      </c>
      <c r="P74" s="4">
        <f t="shared" si="12"/>
        <v>3</v>
      </c>
    </row>
    <row r="75" spans="1:16" x14ac:dyDescent="0.25">
      <c r="A75" t="s">
        <v>297</v>
      </c>
      <c r="B75" t="s">
        <v>35</v>
      </c>
      <c r="C75" t="s">
        <v>293</v>
      </c>
      <c r="D75" t="s">
        <v>298</v>
      </c>
      <c r="E75" t="s">
        <v>295</v>
      </c>
      <c r="F75" t="s">
        <v>296</v>
      </c>
      <c r="G75" t="s">
        <v>372</v>
      </c>
      <c r="H75" t="s">
        <v>373</v>
      </c>
      <c r="I75" s="5">
        <v>0.7</v>
      </c>
      <c r="J75" s="5">
        <v>0.7</v>
      </c>
      <c r="K75" s="5">
        <v>0</v>
      </c>
      <c r="L75" s="5">
        <v>0.7</v>
      </c>
      <c r="M75" s="4">
        <f t="shared" si="9"/>
        <v>3</v>
      </c>
      <c r="N75" s="4">
        <f t="shared" si="10"/>
        <v>3</v>
      </c>
      <c r="O75" s="4">
        <f t="shared" si="11"/>
        <v>0</v>
      </c>
      <c r="P75" s="4">
        <f t="shared" si="12"/>
        <v>3</v>
      </c>
    </row>
    <row r="76" spans="1:16" x14ac:dyDescent="0.25">
      <c r="A76" t="s">
        <v>299</v>
      </c>
      <c r="B76" t="s">
        <v>35</v>
      </c>
      <c r="C76" t="s">
        <v>180</v>
      </c>
      <c r="D76" t="s">
        <v>300</v>
      </c>
      <c r="E76" t="s">
        <v>301</v>
      </c>
      <c r="F76" t="s">
        <v>183</v>
      </c>
      <c r="G76" t="s">
        <v>372</v>
      </c>
      <c r="H76" t="s">
        <v>373</v>
      </c>
      <c r="I76" s="5">
        <v>0.7</v>
      </c>
      <c r="J76" s="5">
        <v>0.7</v>
      </c>
      <c r="K76" s="5">
        <v>0.1</v>
      </c>
      <c r="L76" s="5">
        <v>0.7</v>
      </c>
      <c r="M76" s="4">
        <f t="shared" si="9"/>
        <v>3</v>
      </c>
      <c r="N76" s="4">
        <f t="shared" si="10"/>
        <v>3</v>
      </c>
      <c r="O76" s="4">
        <f t="shared" si="11"/>
        <v>1</v>
      </c>
      <c r="P76" s="4">
        <f t="shared" si="12"/>
        <v>3</v>
      </c>
    </row>
    <row r="77" spans="1:16" x14ac:dyDescent="0.25">
      <c r="A77" t="s">
        <v>302</v>
      </c>
      <c r="B77" t="s">
        <v>35</v>
      </c>
      <c r="C77" t="s">
        <v>303</v>
      </c>
      <c r="D77" t="s">
        <v>304</v>
      </c>
      <c r="E77" t="s">
        <v>305</v>
      </c>
      <c r="F77" t="s">
        <v>306</v>
      </c>
      <c r="G77" t="s">
        <v>374</v>
      </c>
      <c r="H77" t="s">
        <v>359</v>
      </c>
      <c r="I77" s="5">
        <v>0.7</v>
      </c>
      <c r="J77" s="5">
        <v>0.7</v>
      </c>
      <c r="K77" s="5">
        <v>0</v>
      </c>
      <c r="L77" s="5">
        <v>0.7</v>
      </c>
      <c r="M77" s="4">
        <f t="shared" si="9"/>
        <v>3</v>
      </c>
      <c r="N77" s="4">
        <f t="shared" si="10"/>
        <v>3</v>
      </c>
      <c r="O77" s="4">
        <f t="shared" si="11"/>
        <v>0</v>
      </c>
      <c r="P77" s="4">
        <f t="shared" si="12"/>
        <v>3</v>
      </c>
    </row>
    <row r="78" spans="1:16" x14ac:dyDescent="0.25">
      <c r="A78" t="s">
        <v>307</v>
      </c>
      <c r="B78" t="s">
        <v>35</v>
      </c>
      <c r="C78" t="s">
        <v>267</v>
      </c>
      <c r="D78" t="s">
        <v>308</v>
      </c>
      <c r="E78" t="s">
        <v>208</v>
      </c>
      <c r="F78" t="s">
        <v>270</v>
      </c>
      <c r="G78" t="s">
        <v>372</v>
      </c>
      <c r="H78" t="s">
        <v>373</v>
      </c>
      <c r="I78" s="5">
        <v>0.7</v>
      </c>
      <c r="J78" s="5">
        <v>0.7</v>
      </c>
      <c r="K78" s="5">
        <v>0</v>
      </c>
      <c r="L78" s="5">
        <v>0.7</v>
      </c>
      <c r="M78" s="4">
        <f t="shared" si="9"/>
        <v>3</v>
      </c>
      <c r="N78" s="4">
        <f t="shared" si="10"/>
        <v>3</v>
      </c>
      <c r="O78" s="4">
        <f t="shared" si="11"/>
        <v>0</v>
      </c>
      <c r="P78" s="4">
        <f t="shared" si="12"/>
        <v>3</v>
      </c>
    </row>
    <row r="79" spans="1:16" x14ac:dyDescent="0.25">
      <c r="A79" t="s">
        <v>309</v>
      </c>
      <c r="B79" t="s">
        <v>184</v>
      </c>
      <c r="C79" t="s">
        <v>310</v>
      </c>
      <c r="D79" t="s">
        <v>311</v>
      </c>
      <c r="E79" t="s">
        <v>312</v>
      </c>
      <c r="F79" t="s">
        <v>313</v>
      </c>
      <c r="G79" t="s">
        <v>370</v>
      </c>
      <c r="H79" t="s">
        <v>359</v>
      </c>
      <c r="I79" s="5">
        <v>0.7</v>
      </c>
      <c r="J79" s="5">
        <v>0.7</v>
      </c>
      <c r="K79" s="5">
        <v>0</v>
      </c>
      <c r="L79" s="5">
        <v>0.7</v>
      </c>
      <c r="M79" s="4">
        <f t="shared" si="9"/>
        <v>3</v>
      </c>
      <c r="N79" s="4">
        <f t="shared" si="10"/>
        <v>3</v>
      </c>
      <c r="O79" s="4">
        <f t="shared" si="11"/>
        <v>0</v>
      </c>
      <c r="P79" s="4">
        <f t="shared" si="12"/>
        <v>3</v>
      </c>
    </row>
    <row r="80" spans="1:16" x14ac:dyDescent="0.25">
      <c r="A80" t="s">
        <v>314</v>
      </c>
      <c r="B80" t="s">
        <v>35</v>
      </c>
      <c r="C80" t="s">
        <v>37</v>
      </c>
      <c r="D80" t="s">
        <v>315</v>
      </c>
      <c r="E80" t="s">
        <v>316</v>
      </c>
      <c r="F80" t="s">
        <v>40</v>
      </c>
      <c r="G80" t="s">
        <v>375</v>
      </c>
      <c r="H80" t="s">
        <v>357</v>
      </c>
      <c r="I80" s="5">
        <v>0.7</v>
      </c>
      <c r="J80" s="5">
        <v>0.7</v>
      </c>
      <c r="K80" s="5">
        <v>0</v>
      </c>
      <c r="L80" s="5">
        <v>0.7</v>
      </c>
      <c r="M80" s="4">
        <f t="shared" si="9"/>
        <v>3</v>
      </c>
      <c r="N80" s="4">
        <f t="shared" si="10"/>
        <v>3</v>
      </c>
      <c r="O80" s="4">
        <f t="shared" si="11"/>
        <v>0</v>
      </c>
      <c r="P80" s="4">
        <f t="shared" si="12"/>
        <v>3</v>
      </c>
    </row>
    <row r="81" spans="1:16" x14ac:dyDescent="0.25">
      <c r="A81" t="s">
        <v>317</v>
      </c>
      <c r="B81" t="s">
        <v>35</v>
      </c>
      <c r="C81" t="s">
        <v>37</v>
      </c>
      <c r="D81" t="s">
        <v>300</v>
      </c>
      <c r="E81" t="s">
        <v>318</v>
      </c>
      <c r="F81" t="s">
        <v>81</v>
      </c>
      <c r="G81" t="s">
        <v>369</v>
      </c>
      <c r="H81" t="s">
        <v>362</v>
      </c>
      <c r="I81" s="5">
        <v>0.7</v>
      </c>
      <c r="J81" s="5">
        <v>0.7</v>
      </c>
      <c r="K81" s="5">
        <v>0.1</v>
      </c>
      <c r="L81" s="5">
        <v>0.7</v>
      </c>
      <c r="M81" s="4">
        <f t="shared" si="9"/>
        <v>3</v>
      </c>
      <c r="N81" s="4">
        <f t="shared" si="10"/>
        <v>3</v>
      </c>
      <c r="O81" s="4">
        <f t="shared" si="11"/>
        <v>1</v>
      </c>
      <c r="P81" s="4">
        <f t="shared" si="12"/>
        <v>3</v>
      </c>
    </row>
    <row r="82" spans="1:16" x14ac:dyDescent="0.25">
      <c r="A82" t="s">
        <v>319</v>
      </c>
      <c r="B82" t="s">
        <v>35</v>
      </c>
      <c r="C82" t="s">
        <v>245</v>
      </c>
      <c r="D82" t="s">
        <v>320</v>
      </c>
      <c r="E82" t="s">
        <v>321</v>
      </c>
      <c r="F82" t="s">
        <v>248</v>
      </c>
      <c r="G82" t="s">
        <v>374</v>
      </c>
      <c r="H82" t="s">
        <v>362</v>
      </c>
      <c r="I82" s="5">
        <v>0.7</v>
      </c>
      <c r="J82" s="5">
        <v>0.7</v>
      </c>
      <c r="K82" s="5">
        <v>0</v>
      </c>
      <c r="L82" s="5">
        <v>0.7</v>
      </c>
      <c r="M82" s="4">
        <f t="shared" si="9"/>
        <v>3</v>
      </c>
      <c r="N82" s="4">
        <f t="shared" si="10"/>
        <v>3</v>
      </c>
      <c r="O82" s="4">
        <f t="shared" si="11"/>
        <v>0</v>
      </c>
      <c r="P82" s="4">
        <f t="shared" si="12"/>
        <v>3</v>
      </c>
    </row>
    <row r="83" spans="1:16" x14ac:dyDescent="0.25">
      <c r="A83" t="s">
        <v>322</v>
      </c>
      <c r="B83" t="s">
        <v>35</v>
      </c>
      <c r="C83" t="s">
        <v>288</v>
      </c>
      <c r="D83" t="s">
        <v>323</v>
      </c>
      <c r="E83" t="s">
        <v>324</v>
      </c>
      <c r="F83" t="s">
        <v>291</v>
      </c>
      <c r="G83" t="s">
        <v>374</v>
      </c>
      <c r="H83" t="s">
        <v>371</v>
      </c>
      <c r="I83" s="5">
        <v>0.7</v>
      </c>
      <c r="J83" s="5">
        <v>0.7</v>
      </c>
      <c r="K83" s="5">
        <v>0</v>
      </c>
      <c r="L83" s="5">
        <v>0.7</v>
      </c>
      <c r="M83" s="4">
        <f t="shared" si="9"/>
        <v>3</v>
      </c>
      <c r="N83" s="4">
        <f t="shared" si="10"/>
        <v>3</v>
      </c>
      <c r="O83" s="4">
        <f t="shared" si="11"/>
        <v>0</v>
      </c>
      <c r="P83" s="4">
        <f t="shared" si="12"/>
        <v>3</v>
      </c>
    </row>
    <row r="84" spans="1:16" x14ac:dyDescent="0.25">
      <c r="A84" t="s">
        <v>325</v>
      </c>
      <c r="B84" t="s">
        <v>35</v>
      </c>
      <c r="C84" t="s">
        <v>103</v>
      </c>
      <c r="D84" t="s">
        <v>326</v>
      </c>
      <c r="E84" t="s">
        <v>327</v>
      </c>
      <c r="F84" t="s">
        <v>106</v>
      </c>
      <c r="G84" t="s">
        <v>361</v>
      </c>
      <c r="H84" t="s">
        <v>357</v>
      </c>
      <c r="I84" s="5">
        <v>0.7</v>
      </c>
      <c r="J84" s="5">
        <v>0.7</v>
      </c>
      <c r="K84" s="5">
        <v>0</v>
      </c>
      <c r="L84" s="5">
        <v>0.7</v>
      </c>
      <c r="M84" s="4">
        <f t="shared" si="9"/>
        <v>3</v>
      </c>
      <c r="N84" s="4">
        <f t="shared" si="10"/>
        <v>3</v>
      </c>
      <c r="O84" s="4">
        <f t="shared" si="11"/>
        <v>0</v>
      </c>
      <c r="P84" s="4">
        <f t="shared" si="12"/>
        <v>3</v>
      </c>
    </row>
    <row r="85" spans="1:16" x14ac:dyDescent="0.25">
      <c r="A85" t="s">
        <v>328</v>
      </c>
      <c r="B85" t="s">
        <v>35</v>
      </c>
      <c r="C85" t="s">
        <v>329</v>
      </c>
      <c r="D85" t="s">
        <v>330</v>
      </c>
      <c r="E85" t="s">
        <v>331</v>
      </c>
      <c r="F85" t="s">
        <v>332</v>
      </c>
      <c r="G85" t="s">
        <v>361</v>
      </c>
      <c r="H85" t="s">
        <v>359</v>
      </c>
      <c r="I85" s="5">
        <v>0.7</v>
      </c>
      <c r="J85" s="5">
        <v>0.7</v>
      </c>
      <c r="K85" s="5">
        <v>0</v>
      </c>
      <c r="L85" s="5">
        <v>0.35</v>
      </c>
      <c r="M85" s="4">
        <f t="shared" si="9"/>
        <v>3</v>
      </c>
      <c r="N85" s="4">
        <f t="shared" si="10"/>
        <v>3</v>
      </c>
      <c r="O85" s="4">
        <f t="shared" si="11"/>
        <v>0</v>
      </c>
      <c r="P85" s="4">
        <f t="shared" si="12"/>
        <v>2</v>
      </c>
    </row>
    <row r="86" spans="1:16" x14ac:dyDescent="0.25">
      <c r="A86" t="s">
        <v>333</v>
      </c>
      <c r="B86" t="s">
        <v>35</v>
      </c>
      <c r="C86" t="s">
        <v>64</v>
      </c>
      <c r="D86" t="s">
        <v>334</v>
      </c>
      <c r="E86" t="s">
        <v>335</v>
      </c>
      <c r="F86" t="s">
        <v>67</v>
      </c>
      <c r="G86" t="s">
        <v>372</v>
      </c>
      <c r="H86" t="s">
        <v>373</v>
      </c>
      <c r="I86" s="5">
        <v>0.7</v>
      </c>
      <c r="J86" s="5">
        <v>0.7</v>
      </c>
      <c r="K86" s="5">
        <v>0</v>
      </c>
      <c r="L86" s="5">
        <v>0.35</v>
      </c>
      <c r="M86" s="4">
        <f t="shared" si="9"/>
        <v>3</v>
      </c>
      <c r="N86" s="4">
        <f t="shared" si="10"/>
        <v>3</v>
      </c>
      <c r="O86" s="4">
        <f t="shared" si="11"/>
        <v>0</v>
      </c>
      <c r="P86" s="4">
        <f t="shared" si="12"/>
        <v>2</v>
      </c>
    </row>
    <row r="87" spans="1:16" x14ac:dyDescent="0.25">
      <c r="A87" t="s">
        <v>336</v>
      </c>
      <c r="B87" t="s">
        <v>35</v>
      </c>
      <c r="C87" t="s">
        <v>229</v>
      </c>
      <c r="D87" t="s">
        <v>337</v>
      </c>
      <c r="E87" t="s">
        <v>338</v>
      </c>
      <c r="F87" t="s">
        <v>232</v>
      </c>
      <c r="G87" t="s">
        <v>361</v>
      </c>
      <c r="H87" t="s">
        <v>359</v>
      </c>
      <c r="I87" s="5">
        <v>1</v>
      </c>
      <c r="J87" s="5">
        <v>0.35</v>
      </c>
      <c r="K87" s="5">
        <v>0</v>
      </c>
      <c r="L87" s="5">
        <v>0.35</v>
      </c>
      <c r="M87" s="4">
        <f t="shared" si="9"/>
        <v>4</v>
      </c>
      <c r="N87" s="4">
        <f t="shared" si="10"/>
        <v>2</v>
      </c>
      <c r="O87" s="4">
        <f t="shared" si="11"/>
        <v>0</v>
      </c>
      <c r="P87" s="4">
        <f t="shared" si="12"/>
        <v>2</v>
      </c>
    </row>
    <row r="88" spans="1:16" x14ac:dyDescent="0.25">
      <c r="A88" t="s">
        <v>339</v>
      </c>
      <c r="B88" t="s">
        <v>35</v>
      </c>
      <c r="C88" t="s">
        <v>263</v>
      </c>
      <c r="D88" t="s">
        <v>340</v>
      </c>
      <c r="E88" t="s">
        <v>341</v>
      </c>
      <c r="F88" t="s">
        <v>265</v>
      </c>
      <c r="G88" t="s">
        <v>366</v>
      </c>
      <c r="H88" t="s">
        <v>359</v>
      </c>
      <c r="I88" s="5">
        <v>0.7</v>
      </c>
      <c r="J88" s="5">
        <v>0.7</v>
      </c>
      <c r="K88" s="5">
        <v>0</v>
      </c>
      <c r="L88" s="5">
        <v>0.35</v>
      </c>
      <c r="M88" s="4">
        <f t="shared" si="9"/>
        <v>3</v>
      </c>
      <c r="N88" s="4">
        <f t="shared" si="10"/>
        <v>3</v>
      </c>
      <c r="O88" s="4">
        <f t="shared" si="11"/>
        <v>0</v>
      </c>
      <c r="P88" s="4">
        <f t="shared" si="12"/>
        <v>2</v>
      </c>
    </row>
    <row r="89" spans="1:16" x14ac:dyDescent="0.25">
      <c r="A89" t="s">
        <v>342</v>
      </c>
      <c r="B89" t="s">
        <v>35</v>
      </c>
      <c r="C89" t="s">
        <v>343</v>
      </c>
      <c r="D89" t="s">
        <v>140</v>
      </c>
      <c r="E89" t="s">
        <v>344</v>
      </c>
      <c r="F89" t="s">
        <v>345</v>
      </c>
      <c r="G89" t="s">
        <v>372</v>
      </c>
      <c r="H89" t="s">
        <v>359</v>
      </c>
      <c r="I89" s="5">
        <v>0.7</v>
      </c>
      <c r="J89" s="5">
        <v>0.7</v>
      </c>
      <c r="K89" s="5">
        <v>0</v>
      </c>
      <c r="L89" s="5">
        <v>0.35</v>
      </c>
      <c r="M89" s="4">
        <f t="shared" si="9"/>
        <v>3</v>
      </c>
      <c r="N89" s="4">
        <f t="shared" si="10"/>
        <v>3</v>
      </c>
      <c r="O89" s="4">
        <f t="shared" si="11"/>
        <v>0</v>
      </c>
      <c r="P89" s="4">
        <f t="shared" si="12"/>
        <v>2</v>
      </c>
    </row>
    <row r="90" spans="1:16" x14ac:dyDescent="0.25">
      <c r="A90" t="s">
        <v>346</v>
      </c>
      <c r="B90" t="s">
        <v>35</v>
      </c>
      <c r="C90" t="s">
        <v>42</v>
      </c>
      <c r="D90" t="s">
        <v>347</v>
      </c>
      <c r="E90" t="s">
        <v>348</v>
      </c>
      <c r="F90" t="s">
        <v>45</v>
      </c>
      <c r="G90" t="s">
        <v>368</v>
      </c>
      <c r="H90" t="s">
        <v>362</v>
      </c>
      <c r="I90" s="5">
        <v>0.7</v>
      </c>
      <c r="J90" s="5">
        <v>0.7</v>
      </c>
      <c r="K90" s="5">
        <v>0</v>
      </c>
      <c r="L90" s="5">
        <v>0.35</v>
      </c>
      <c r="M90" s="4">
        <f t="shared" si="9"/>
        <v>3</v>
      </c>
      <c r="N90" s="4">
        <f t="shared" si="10"/>
        <v>3</v>
      </c>
      <c r="O90" s="4">
        <f t="shared" si="11"/>
        <v>0</v>
      </c>
      <c r="P90" s="4">
        <f t="shared" si="12"/>
        <v>2</v>
      </c>
    </row>
    <row r="91" spans="1:16" x14ac:dyDescent="0.25">
      <c r="A91" t="s">
        <v>349</v>
      </c>
      <c r="B91" t="s">
        <v>35</v>
      </c>
      <c r="C91" t="s">
        <v>350</v>
      </c>
      <c r="D91" t="s">
        <v>351</v>
      </c>
      <c r="E91" t="s">
        <v>208</v>
      </c>
      <c r="F91" t="s">
        <v>352</v>
      </c>
      <c r="G91" t="s">
        <v>372</v>
      </c>
      <c r="H91" t="s">
        <v>373</v>
      </c>
      <c r="I91" s="5">
        <v>0.35</v>
      </c>
      <c r="J91" s="5">
        <v>0.1</v>
      </c>
      <c r="K91" s="5">
        <v>0</v>
      </c>
      <c r="L91" s="5">
        <v>0.35</v>
      </c>
      <c r="M91" s="4">
        <f t="shared" si="9"/>
        <v>2</v>
      </c>
      <c r="N91" s="4">
        <f t="shared" si="10"/>
        <v>1</v>
      </c>
      <c r="O91" s="4">
        <f t="shared" si="11"/>
        <v>0</v>
      </c>
      <c r="P91" s="4">
        <f t="shared" ref="P91" si="13">IF(L91=1,4,IF(L91=0.7,3,IF(L91=0.35,2,IF(L91=0.1,1,0))))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1"/>
  <sheetViews>
    <sheetView workbookViewId="0">
      <pane ySplit="1" topLeftCell="A2" activePane="bottomLeft" state="frozen"/>
      <selection pane="bottomLeft" activeCell="G1" sqref="G1:H1"/>
    </sheetView>
  </sheetViews>
  <sheetFormatPr defaultColWidth="26.28515625" defaultRowHeight="15" x14ac:dyDescent="0.25"/>
  <cols>
    <col min="1" max="1" width="14.140625" bestFit="1" customWidth="1"/>
    <col min="2" max="2" width="15.140625" bestFit="1" customWidth="1"/>
    <col min="3" max="3" width="8.7109375" bestFit="1" customWidth="1"/>
    <col min="4" max="4" width="9.5703125" bestFit="1" customWidth="1"/>
    <col min="5" max="5" width="68.28515625" bestFit="1" customWidth="1"/>
    <col min="6" max="6" width="48" bestFit="1" customWidth="1"/>
    <col min="7" max="7" width="26.7109375" bestFit="1" customWidth="1"/>
    <col min="8" max="8" width="35" bestFit="1" customWidth="1"/>
    <col min="9" max="12" width="17.7109375" customWidth="1"/>
    <col min="13" max="16" width="10.7109375" customWidth="1"/>
  </cols>
  <sheetData>
    <row r="1" spans="1:16" x14ac:dyDescent="0.25">
      <c r="A1" s="6" t="s">
        <v>353</v>
      </c>
      <c r="B1" s="6" t="s">
        <v>354</v>
      </c>
      <c r="C1" s="6" t="s">
        <v>32</v>
      </c>
      <c r="D1" s="6" t="s">
        <v>9</v>
      </c>
      <c r="E1" s="6" t="s">
        <v>33</v>
      </c>
      <c r="F1" s="6" t="s">
        <v>34</v>
      </c>
      <c r="G1" s="6" t="s">
        <v>355</v>
      </c>
      <c r="H1" s="6" t="s">
        <v>356</v>
      </c>
      <c r="I1" s="1" t="s">
        <v>0</v>
      </c>
      <c r="J1" s="1" t="s">
        <v>1</v>
      </c>
      <c r="K1" s="1" t="s">
        <v>2</v>
      </c>
      <c r="L1" s="1" t="s">
        <v>3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 x14ac:dyDescent="0.25">
      <c r="A2" t="s">
        <v>125</v>
      </c>
      <c r="B2" t="s">
        <v>35</v>
      </c>
      <c r="C2" t="s">
        <v>126</v>
      </c>
      <c r="D2" t="s">
        <v>70</v>
      </c>
      <c r="E2" t="s">
        <v>127</v>
      </c>
      <c r="F2" t="s">
        <v>128</v>
      </c>
      <c r="G2" t="s">
        <v>370</v>
      </c>
      <c r="H2" t="s">
        <v>371</v>
      </c>
      <c r="I2" s="2">
        <v>1</v>
      </c>
      <c r="J2" s="2">
        <v>1</v>
      </c>
      <c r="K2" s="2">
        <v>0.1</v>
      </c>
      <c r="L2" s="2">
        <v>1</v>
      </c>
      <c r="M2" s="4">
        <f t="shared" ref="M2:M33" si="0">IF(I2=1,4,IF(I2=0.7,3,IF(I2=0.35,2,IF(I2=0.1,1,0))))</f>
        <v>4</v>
      </c>
      <c r="N2" s="4">
        <f t="shared" ref="N2:N33" si="1">IF(J2=1,4,IF(J2=0.7,3,IF(J2=0.35,2,IF(J2=0.1,1,0))))</f>
        <v>4</v>
      </c>
      <c r="O2" s="4">
        <f t="shared" ref="O2:O33" si="2">IF(K2=1,4,IF(K2=0.7,3,IF(K2=0.35,2,IF(K2=0.1,1,0))))</f>
        <v>1</v>
      </c>
      <c r="P2" s="4">
        <f t="shared" ref="P2:P35" si="3">IF(L2=1,4,IF(L2=0.7,3,IF(L2=0.35,2,IF(L2=0.1,1,0))))</f>
        <v>4</v>
      </c>
    </row>
    <row r="3" spans="1:16" x14ac:dyDescent="0.25">
      <c r="A3" t="s">
        <v>36</v>
      </c>
      <c r="B3" t="s">
        <v>35</v>
      </c>
      <c r="C3" t="s">
        <v>37</v>
      </c>
      <c r="D3" t="s">
        <v>38</v>
      </c>
      <c r="E3" t="s">
        <v>39</v>
      </c>
      <c r="F3" t="s">
        <v>40</v>
      </c>
      <c r="G3" t="s">
        <v>360</v>
      </c>
      <c r="H3" t="s">
        <v>357</v>
      </c>
      <c r="I3" s="2">
        <v>1</v>
      </c>
      <c r="J3" s="2">
        <v>1</v>
      </c>
      <c r="K3" s="2">
        <v>0</v>
      </c>
      <c r="L3" s="2">
        <v>1</v>
      </c>
      <c r="M3" s="4">
        <f t="shared" si="0"/>
        <v>4</v>
      </c>
      <c r="N3" s="4">
        <f t="shared" si="1"/>
        <v>4</v>
      </c>
      <c r="O3" s="4">
        <f t="shared" si="2"/>
        <v>0</v>
      </c>
      <c r="P3" s="4">
        <f t="shared" si="3"/>
        <v>4</v>
      </c>
    </row>
    <row r="4" spans="1:16" x14ac:dyDescent="0.25">
      <c r="A4" t="s">
        <v>41</v>
      </c>
      <c r="B4" t="s">
        <v>35</v>
      </c>
      <c r="C4" t="s">
        <v>42</v>
      </c>
      <c r="D4" t="s">
        <v>43</v>
      </c>
      <c r="E4" t="s">
        <v>44</v>
      </c>
      <c r="F4" t="s">
        <v>45</v>
      </c>
      <c r="G4" t="s">
        <v>360</v>
      </c>
      <c r="H4" t="s">
        <v>359</v>
      </c>
      <c r="I4" s="2">
        <v>1</v>
      </c>
      <c r="J4" s="2">
        <v>1</v>
      </c>
      <c r="K4" s="2">
        <v>0</v>
      </c>
      <c r="L4" s="2">
        <v>1</v>
      </c>
      <c r="M4" s="4">
        <f t="shared" si="0"/>
        <v>4</v>
      </c>
      <c r="N4" s="4">
        <f t="shared" si="1"/>
        <v>4</v>
      </c>
      <c r="O4" s="4">
        <f t="shared" si="2"/>
        <v>0</v>
      </c>
      <c r="P4" s="4">
        <f t="shared" si="3"/>
        <v>4</v>
      </c>
    </row>
    <row r="5" spans="1:16" x14ac:dyDescent="0.25">
      <c r="A5" t="s">
        <v>51</v>
      </c>
      <c r="B5" t="s">
        <v>35</v>
      </c>
      <c r="C5" t="s">
        <v>37</v>
      </c>
      <c r="D5" t="s">
        <v>52</v>
      </c>
      <c r="E5" t="s">
        <v>53</v>
      </c>
      <c r="F5" t="s">
        <v>40</v>
      </c>
      <c r="G5" t="s">
        <v>360</v>
      </c>
      <c r="H5" t="s">
        <v>357</v>
      </c>
      <c r="I5" s="2">
        <v>1</v>
      </c>
      <c r="J5" s="2">
        <v>1</v>
      </c>
      <c r="K5" s="2">
        <v>0</v>
      </c>
      <c r="L5" s="2">
        <v>1</v>
      </c>
      <c r="M5" s="4">
        <f t="shared" si="0"/>
        <v>4</v>
      </c>
      <c r="N5" s="4">
        <f t="shared" si="1"/>
        <v>4</v>
      </c>
      <c r="O5" s="4">
        <f t="shared" si="2"/>
        <v>0</v>
      </c>
      <c r="P5" s="4">
        <f t="shared" si="3"/>
        <v>4</v>
      </c>
    </row>
    <row r="6" spans="1:16" x14ac:dyDescent="0.25">
      <c r="A6" t="s">
        <v>129</v>
      </c>
      <c r="B6" t="s">
        <v>35</v>
      </c>
      <c r="C6" t="s">
        <v>130</v>
      </c>
      <c r="D6" t="s">
        <v>131</v>
      </c>
      <c r="E6" t="s">
        <v>132</v>
      </c>
      <c r="F6" t="s">
        <v>133</v>
      </c>
      <c r="G6" t="s">
        <v>364</v>
      </c>
      <c r="H6" t="s">
        <v>359</v>
      </c>
      <c r="I6" s="2">
        <v>1</v>
      </c>
      <c r="J6" s="2">
        <v>1</v>
      </c>
      <c r="K6" s="2">
        <v>0.1</v>
      </c>
      <c r="L6" s="2">
        <v>1</v>
      </c>
      <c r="M6" s="4">
        <f t="shared" si="0"/>
        <v>4</v>
      </c>
      <c r="N6" s="4">
        <f t="shared" si="1"/>
        <v>4</v>
      </c>
      <c r="O6" s="4">
        <f t="shared" si="2"/>
        <v>1</v>
      </c>
      <c r="P6" s="4">
        <f t="shared" si="3"/>
        <v>4</v>
      </c>
    </row>
    <row r="7" spans="1:16" x14ac:dyDescent="0.25">
      <c r="A7" t="s">
        <v>54</v>
      </c>
      <c r="B7" t="s">
        <v>35</v>
      </c>
      <c r="C7" t="s">
        <v>42</v>
      </c>
      <c r="D7" t="s">
        <v>55</v>
      </c>
      <c r="E7" t="s">
        <v>56</v>
      </c>
      <c r="F7" t="s">
        <v>45</v>
      </c>
      <c r="G7" t="s">
        <v>360</v>
      </c>
      <c r="H7" t="s">
        <v>362</v>
      </c>
      <c r="I7" s="2">
        <v>1</v>
      </c>
      <c r="J7" s="2">
        <v>1</v>
      </c>
      <c r="K7" s="2">
        <v>0.1</v>
      </c>
      <c r="L7" s="2">
        <v>1</v>
      </c>
      <c r="M7" s="4">
        <f t="shared" si="0"/>
        <v>4</v>
      </c>
      <c r="N7" s="4">
        <f t="shared" si="1"/>
        <v>4</v>
      </c>
      <c r="O7" s="4">
        <f t="shared" si="2"/>
        <v>1</v>
      </c>
      <c r="P7" s="4">
        <f t="shared" si="3"/>
        <v>4</v>
      </c>
    </row>
    <row r="8" spans="1:16" x14ac:dyDescent="0.25">
      <c r="A8" t="s">
        <v>57</v>
      </c>
      <c r="B8" t="s">
        <v>35</v>
      </c>
      <c r="C8" t="s">
        <v>42</v>
      </c>
      <c r="D8" t="s">
        <v>58</v>
      </c>
      <c r="E8" t="s">
        <v>59</v>
      </c>
      <c r="F8" t="s">
        <v>45</v>
      </c>
      <c r="G8" t="s">
        <v>360</v>
      </c>
      <c r="H8" t="s">
        <v>359</v>
      </c>
      <c r="I8" s="2">
        <v>1</v>
      </c>
      <c r="J8" s="2">
        <v>1</v>
      </c>
      <c r="K8" s="2">
        <v>0.1</v>
      </c>
      <c r="L8" s="2">
        <v>1</v>
      </c>
      <c r="M8" s="4">
        <f t="shared" si="0"/>
        <v>4</v>
      </c>
      <c r="N8" s="4">
        <f t="shared" si="1"/>
        <v>4</v>
      </c>
      <c r="O8" s="4">
        <f t="shared" si="2"/>
        <v>1</v>
      </c>
      <c r="P8" s="4">
        <f t="shared" si="3"/>
        <v>4</v>
      </c>
    </row>
    <row r="9" spans="1:16" x14ac:dyDescent="0.25">
      <c r="A9" t="s">
        <v>60</v>
      </c>
      <c r="B9" t="s">
        <v>35</v>
      </c>
      <c r="C9" t="s">
        <v>42</v>
      </c>
      <c r="D9" t="s">
        <v>61</v>
      </c>
      <c r="E9" t="s">
        <v>62</v>
      </c>
      <c r="F9" t="s">
        <v>45</v>
      </c>
      <c r="G9" t="s">
        <v>360</v>
      </c>
      <c r="H9" t="s">
        <v>359</v>
      </c>
      <c r="I9" s="2">
        <v>1</v>
      </c>
      <c r="J9" s="2">
        <v>1</v>
      </c>
      <c r="K9" s="2">
        <v>0.1</v>
      </c>
      <c r="L9" s="2">
        <v>1</v>
      </c>
      <c r="M9" s="4">
        <f t="shared" si="0"/>
        <v>4</v>
      </c>
      <c r="N9" s="4">
        <f t="shared" si="1"/>
        <v>4</v>
      </c>
      <c r="O9" s="4">
        <f t="shared" si="2"/>
        <v>1</v>
      </c>
      <c r="P9" s="4">
        <f t="shared" si="3"/>
        <v>4</v>
      </c>
    </row>
    <row r="10" spans="1:16" x14ac:dyDescent="0.25">
      <c r="A10" t="s">
        <v>63</v>
      </c>
      <c r="B10" t="s">
        <v>35</v>
      </c>
      <c r="C10" t="s">
        <v>64</v>
      </c>
      <c r="D10" t="s">
        <v>65</v>
      </c>
      <c r="E10" t="s">
        <v>66</v>
      </c>
      <c r="F10" t="s">
        <v>67</v>
      </c>
      <c r="G10" t="s">
        <v>363</v>
      </c>
      <c r="H10" t="s">
        <v>362</v>
      </c>
      <c r="I10" s="2">
        <v>1</v>
      </c>
      <c r="J10" s="2">
        <v>1</v>
      </c>
      <c r="K10" s="2">
        <v>0</v>
      </c>
      <c r="L10" s="2">
        <v>1</v>
      </c>
      <c r="M10" s="4">
        <f t="shared" si="0"/>
        <v>4</v>
      </c>
      <c r="N10" s="4">
        <f t="shared" si="1"/>
        <v>4</v>
      </c>
      <c r="O10" s="4">
        <f t="shared" si="2"/>
        <v>0</v>
      </c>
      <c r="P10" s="4">
        <f t="shared" si="3"/>
        <v>4</v>
      </c>
    </row>
    <row r="11" spans="1:16" x14ac:dyDescent="0.25">
      <c r="A11" t="s">
        <v>68</v>
      </c>
      <c r="B11" t="s">
        <v>35</v>
      </c>
      <c r="C11" t="s">
        <v>69</v>
      </c>
      <c r="D11" t="s">
        <v>70</v>
      </c>
      <c r="E11" t="s">
        <v>71</v>
      </c>
      <c r="F11" t="s">
        <v>72</v>
      </c>
      <c r="G11" t="s">
        <v>364</v>
      </c>
      <c r="H11" t="s">
        <v>365</v>
      </c>
      <c r="I11" s="2">
        <v>1</v>
      </c>
      <c r="J11" s="2">
        <v>1</v>
      </c>
      <c r="K11" s="2">
        <v>0</v>
      </c>
      <c r="L11" s="2">
        <v>1</v>
      </c>
      <c r="M11" s="4">
        <f t="shared" si="0"/>
        <v>4</v>
      </c>
      <c r="N11" s="4">
        <f t="shared" si="1"/>
        <v>4</v>
      </c>
      <c r="O11" s="4">
        <f t="shared" si="2"/>
        <v>0</v>
      </c>
      <c r="P11" s="4">
        <f t="shared" si="3"/>
        <v>4</v>
      </c>
    </row>
    <row r="12" spans="1:16" x14ac:dyDescent="0.25">
      <c r="A12" t="s">
        <v>73</v>
      </c>
      <c r="B12" t="s">
        <v>35</v>
      </c>
      <c r="C12" t="s">
        <v>74</v>
      </c>
      <c r="D12" t="s">
        <v>75</v>
      </c>
      <c r="E12" t="s">
        <v>76</v>
      </c>
      <c r="F12" t="s">
        <v>77</v>
      </c>
      <c r="G12" t="s">
        <v>360</v>
      </c>
      <c r="H12" t="s">
        <v>357</v>
      </c>
      <c r="I12" s="2">
        <v>1</v>
      </c>
      <c r="J12" s="2">
        <v>1</v>
      </c>
      <c r="K12" s="2">
        <v>0</v>
      </c>
      <c r="L12" s="2">
        <v>1</v>
      </c>
      <c r="M12" s="4">
        <f t="shared" si="0"/>
        <v>4</v>
      </c>
      <c r="N12" s="4">
        <f t="shared" si="1"/>
        <v>4</v>
      </c>
      <c r="O12" s="4">
        <f t="shared" si="2"/>
        <v>0</v>
      </c>
      <c r="P12" s="4">
        <f t="shared" si="3"/>
        <v>4</v>
      </c>
    </row>
    <row r="13" spans="1:16" x14ac:dyDescent="0.25">
      <c r="A13" t="s">
        <v>145</v>
      </c>
      <c r="B13" t="s">
        <v>35</v>
      </c>
      <c r="C13" t="s">
        <v>146</v>
      </c>
      <c r="D13" t="s">
        <v>147</v>
      </c>
      <c r="E13" t="s">
        <v>148</v>
      </c>
      <c r="F13" t="s">
        <v>149</v>
      </c>
      <c r="G13" t="s">
        <v>366</v>
      </c>
      <c r="H13" t="s">
        <v>359</v>
      </c>
      <c r="I13" s="2">
        <v>1</v>
      </c>
      <c r="J13" s="2">
        <v>1</v>
      </c>
      <c r="K13" s="2">
        <v>0</v>
      </c>
      <c r="L13" s="2">
        <v>1</v>
      </c>
      <c r="M13" s="4">
        <f t="shared" si="0"/>
        <v>4</v>
      </c>
      <c r="N13" s="4">
        <f t="shared" si="1"/>
        <v>4</v>
      </c>
      <c r="O13" s="4">
        <f t="shared" si="2"/>
        <v>0</v>
      </c>
      <c r="P13" s="4">
        <f t="shared" si="3"/>
        <v>4</v>
      </c>
    </row>
    <row r="14" spans="1:16" x14ac:dyDescent="0.25">
      <c r="A14" t="s">
        <v>78</v>
      </c>
      <c r="B14" t="s">
        <v>35</v>
      </c>
      <c r="C14" t="s">
        <v>37</v>
      </c>
      <c r="D14" t="s">
        <v>79</v>
      </c>
      <c r="E14" t="s">
        <v>80</v>
      </c>
      <c r="F14" t="s">
        <v>81</v>
      </c>
      <c r="G14" t="s">
        <v>366</v>
      </c>
      <c r="H14" t="s">
        <v>358</v>
      </c>
      <c r="I14" s="2">
        <v>1</v>
      </c>
      <c r="J14" s="2">
        <v>1</v>
      </c>
      <c r="K14" s="2">
        <v>0</v>
      </c>
      <c r="L14" s="2">
        <v>1</v>
      </c>
      <c r="M14" s="4">
        <f t="shared" si="0"/>
        <v>4</v>
      </c>
      <c r="N14" s="4">
        <f t="shared" si="1"/>
        <v>4</v>
      </c>
      <c r="O14" s="4">
        <f t="shared" si="2"/>
        <v>0</v>
      </c>
      <c r="P14" s="4">
        <f t="shared" si="3"/>
        <v>4</v>
      </c>
    </row>
    <row r="15" spans="1:16" x14ac:dyDescent="0.25">
      <c r="A15" t="s">
        <v>82</v>
      </c>
      <c r="B15" t="s">
        <v>35</v>
      </c>
      <c r="C15" t="s">
        <v>37</v>
      </c>
      <c r="D15" t="s">
        <v>55</v>
      </c>
      <c r="E15" t="s">
        <v>83</v>
      </c>
      <c r="F15" t="s">
        <v>40</v>
      </c>
      <c r="G15" t="s">
        <v>366</v>
      </c>
      <c r="H15" t="s">
        <v>357</v>
      </c>
      <c r="I15" s="2">
        <v>1</v>
      </c>
      <c r="J15" s="2">
        <v>1</v>
      </c>
      <c r="K15" s="2">
        <v>0</v>
      </c>
      <c r="L15" s="2">
        <v>1</v>
      </c>
      <c r="M15" s="4">
        <f t="shared" si="0"/>
        <v>4</v>
      </c>
      <c r="N15" s="4">
        <f t="shared" si="1"/>
        <v>4</v>
      </c>
      <c r="O15" s="4">
        <f t="shared" si="2"/>
        <v>0</v>
      </c>
      <c r="P15" s="4">
        <f t="shared" si="3"/>
        <v>4</v>
      </c>
    </row>
    <row r="16" spans="1:16" x14ac:dyDescent="0.25">
      <c r="A16" t="s">
        <v>116</v>
      </c>
      <c r="B16" t="s">
        <v>35</v>
      </c>
      <c r="C16" t="s">
        <v>117</v>
      </c>
      <c r="D16" t="s">
        <v>118</v>
      </c>
      <c r="E16" t="s">
        <v>119</v>
      </c>
      <c r="F16" t="s">
        <v>120</v>
      </c>
      <c r="G16" t="s">
        <v>364</v>
      </c>
      <c r="H16" t="s">
        <v>362</v>
      </c>
      <c r="I16" s="2">
        <v>1</v>
      </c>
      <c r="J16" s="2">
        <v>1</v>
      </c>
      <c r="K16" s="2">
        <v>0</v>
      </c>
      <c r="L16" s="2">
        <v>1</v>
      </c>
      <c r="M16" s="4">
        <f t="shared" si="0"/>
        <v>4</v>
      </c>
      <c r="N16" s="4">
        <f t="shared" si="1"/>
        <v>4</v>
      </c>
      <c r="O16" s="4">
        <f t="shared" si="2"/>
        <v>0</v>
      </c>
      <c r="P16" s="4">
        <f t="shared" si="3"/>
        <v>4</v>
      </c>
    </row>
    <row r="17" spans="1:16" x14ac:dyDescent="0.25">
      <c r="A17" t="s">
        <v>90</v>
      </c>
      <c r="B17" t="s">
        <v>35</v>
      </c>
      <c r="C17" t="s">
        <v>91</v>
      </c>
      <c r="D17" t="s">
        <v>92</v>
      </c>
      <c r="E17" t="s">
        <v>93</v>
      </c>
      <c r="F17" t="s">
        <v>94</v>
      </c>
      <c r="G17" t="s">
        <v>364</v>
      </c>
      <c r="H17" t="s">
        <v>367</v>
      </c>
      <c r="I17" s="2">
        <v>1</v>
      </c>
      <c r="J17" s="2">
        <v>1</v>
      </c>
      <c r="K17" s="2">
        <v>0</v>
      </c>
      <c r="L17" s="2">
        <v>1</v>
      </c>
      <c r="M17" s="4">
        <f t="shared" si="0"/>
        <v>4</v>
      </c>
      <c r="N17" s="4">
        <f t="shared" si="1"/>
        <v>4</v>
      </c>
      <c r="O17" s="4">
        <f t="shared" si="2"/>
        <v>0</v>
      </c>
      <c r="P17" s="4">
        <f t="shared" si="3"/>
        <v>4</v>
      </c>
    </row>
    <row r="18" spans="1:16" x14ac:dyDescent="0.25">
      <c r="A18" t="s">
        <v>95</v>
      </c>
      <c r="B18" t="s">
        <v>35</v>
      </c>
      <c r="C18" t="s">
        <v>37</v>
      </c>
      <c r="D18" t="s">
        <v>96</v>
      </c>
      <c r="E18" t="s">
        <v>97</v>
      </c>
      <c r="F18" t="s">
        <v>40</v>
      </c>
      <c r="G18" t="s">
        <v>368</v>
      </c>
      <c r="H18" t="s">
        <v>357</v>
      </c>
      <c r="I18" s="2">
        <v>1</v>
      </c>
      <c r="J18" s="2">
        <v>1</v>
      </c>
      <c r="K18" s="2">
        <v>0</v>
      </c>
      <c r="L18" s="2">
        <v>1</v>
      </c>
      <c r="M18" s="4">
        <f t="shared" si="0"/>
        <v>4</v>
      </c>
      <c r="N18" s="4">
        <f t="shared" si="1"/>
        <v>4</v>
      </c>
      <c r="O18" s="4">
        <f t="shared" si="2"/>
        <v>0</v>
      </c>
      <c r="P18" s="4">
        <f t="shared" si="3"/>
        <v>4</v>
      </c>
    </row>
    <row r="19" spans="1:16" x14ac:dyDescent="0.25">
      <c r="A19" t="s">
        <v>161</v>
      </c>
      <c r="B19" t="s">
        <v>35</v>
      </c>
      <c r="C19" t="s">
        <v>110</v>
      </c>
      <c r="D19" t="s">
        <v>19</v>
      </c>
      <c r="E19" t="s">
        <v>162</v>
      </c>
      <c r="F19" t="s">
        <v>112</v>
      </c>
      <c r="G19" t="s">
        <v>369</v>
      </c>
      <c r="H19" t="s">
        <v>359</v>
      </c>
      <c r="I19" s="2">
        <v>1</v>
      </c>
      <c r="J19" s="2">
        <v>1</v>
      </c>
      <c r="K19" s="2">
        <v>0</v>
      </c>
      <c r="L19" s="2">
        <v>1</v>
      </c>
      <c r="M19" s="4">
        <f t="shared" si="0"/>
        <v>4</v>
      </c>
      <c r="N19" s="4">
        <f t="shared" si="1"/>
        <v>4</v>
      </c>
      <c r="O19" s="4">
        <f t="shared" si="2"/>
        <v>0</v>
      </c>
      <c r="P19" s="4">
        <f t="shared" si="3"/>
        <v>4</v>
      </c>
    </row>
    <row r="20" spans="1:16" x14ac:dyDescent="0.25">
      <c r="A20" t="s">
        <v>170</v>
      </c>
      <c r="B20" t="s">
        <v>35</v>
      </c>
      <c r="C20" t="s">
        <v>171</v>
      </c>
      <c r="D20" t="s">
        <v>28</v>
      </c>
      <c r="E20" t="s">
        <v>172</v>
      </c>
      <c r="F20" t="s">
        <v>173</v>
      </c>
      <c r="G20" t="s">
        <v>370</v>
      </c>
      <c r="H20" t="s">
        <v>362</v>
      </c>
      <c r="I20" s="2">
        <v>1</v>
      </c>
      <c r="J20" s="2">
        <v>1</v>
      </c>
      <c r="K20" s="2">
        <v>0.1</v>
      </c>
      <c r="L20" s="2">
        <v>1</v>
      </c>
      <c r="M20" s="4">
        <f t="shared" si="0"/>
        <v>4</v>
      </c>
      <c r="N20" s="4">
        <f t="shared" si="1"/>
        <v>4</v>
      </c>
      <c r="O20" s="4">
        <f t="shared" si="2"/>
        <v>1</v>
      </c>
      <c r="P20" s="4">
        <f t="shared" si="3"/>
        <v>4</v>
      </c>
    </row>
    <row r="21" spans="1:16" x14ac:dyDescent="0.25">
      <c r="A21" t="s">
        <v>249</v>
      </c>
      <c r="B21" t="s">
        <v>35</v>
      </c>
      <c r="C21" t="s">
        <v>110</v>
      </c>
      <c r="D21" t="s">
        <v>21</v>
      </c>
      <c r="E21" t="s">
        <v>250</v>
      </c>
      <c r="F21" t="s">
        <v>112</v>
      </c>
      <c r="G21" t="s">
        <v>370</v>
      </c>
      <c r="H21" t="s">
        <v>373</v>
      </c>
      <c r="I21" s="2">
        <v>1</v>
      </c>
      <c r="J21" s="2">
        <v>1</v>
      </c>
      <c r="K21" s="2">
        <v>0.35</v>
      </c>
      <c r="L21" s="2">
        <v>1</v>
      </c>
      <c r="M21" s="4">
        <f t="shared" si="0"/>
        <v>4</v>
      </c>
      <c r="N21" s="4">
        <f t="shared" si="1"/>
        <v>4</v>
      </c>
      <c r="O21" s="4">
        <f t="shared" si="2"/>
        <v>2</v>
      </c>
      <c r="P21" s="4">
        <f t="shared" si="3"/>
        <v>4</v>
      </c>
    </row>
    <row r="22" spans="1:16" x14ac:dyDescent="0.25">
      <c r="A22" t="s">
        <v>98</v>
      </c>
      <c r="B22" t="s">
        <v>35</v>
      </c>
      <c r="C22" t="s">
        <v>99</v>
      </c>
      <c r="D22" t="s">
        <v>25</v>
      </c>
      <c r="E22" t="s">
        <v>100</v>
      </c>
      <c r="F22" t="s">
        <v>101</v>
      </c>
      <c r="G22" t="s">
        <v>369</v>
      </c>
      <c r="H22" t="s">
        <v>359</v>
      </c>
      <c r="I22" s="2">
        <v>1</v>
      </c>
      <c r="J22" s="2">
        <v>1</v>
      </c>
      <c r="K22" s="2">
        <v>0</v>
      </c>
      <c r="L22" s="2">
        <v>1</v>
      </c>
      <c r="M22" s="4">
        <f t="shared" si="0"/>
        <v>4</v>
      </c>
      <c r="N22" s="4">
        <f t="shared" si="1"/>
        <v>4</v>
      </c>
      <c r="O22" s="4">
        <f t="shared" si="2"/>
        <v>0</v>
      </c>
      <c r="P22" s="4">
        <f t="shared" si="3"/>
        <v>4</v>
      </c>
    </row>
    <row r="23" spans="1:16" x14ac:dyDescent="0.25">
      <c r="A23" t="s">
        <v>134</v>
      </c>
      <c r="B23" t="s">
        <v>35</v>
      </c>
      <c r="C23" t="s">
        <v>42</v>
      </c>
      <c r="D23" t="s">
        <v>135</v>
      </c>
      <c r="E23" t="s">
        <v>136</v>
      </c>
      <c r="F23" t="s">
        <v>137</v>
      </c>
      <c r="G23" t="s">
        <v>369</v>
      </c>
      <c r="H23" t="s">
        <v>371</v>
      </c>
      <c r="I23" s="2">
        <v>1</v>
      </c>
      <c r="J23" s="2">
        <v>1</v>
      </c>
      <c r="K23" s="2">
        <v>0</v>
      </c>
      <c r="L23" s="2">
        <v>1</v>
      </c>
      <c r="M23" s="4">
        <f t="shared" si="0"/>
        <v>4</v>
      </c>
      <c r="N23" s="4">
        <f t="shared" si="1"/>
        <v>4</v>
      </c>
      <c r="O23" s="4">
        <f t="shared" si="2"/>
        <v>0</v>
      </c>
      <c r="P23" s="4">
        <f t="shared" si="3"/>
        <v>4</v>
      </c>
    </row>
    <row r="24" spans="1:16" x14ac:dyDescent="0.25">
      <c r="A24" t="s">
        <v>185</v>
      </c>
      <c r="B24" t="s">
        <v>184</v>
      </c>
      <c r="C24" t="s">
        <v>164</v>
      </c>
      <c r="D24" t="s">
        <v>186</v>
      </c>
      <c r="E24" t="s">
        <v>187</v>
      </c>
      <c r="F24" t="s">
        <v>166</v>
      </c>
      <c r="G24" t="s">
        <v>364</v>
      </c>
      <c r="H24" t="s">
        <v>362</v>
      </c>
      <c r="I24" s="2">
        <v>1</v>
      </c>
      <c r="J24" s="2">
        <v>1</v>
      </c>
      <c r="K24" s="2">
        <v>0</v>
      </c>
      <c r="L24" s="2">
        <v>1</v>
      </c>
      <c r="M24" s="4">
        <f t="shared" si="0"/>
        <v>4</v>
      </c>
      <c r="N24" s="4">
        <f t="shared" si="1"/>
        <v>4</v>
      </c>
      <c r="O24" s="4">
        <f t="shared" si="2"/>
        <v>0</v>
      </c>
      <c r="P24" s="4">
        <f t="shared" si="3"/>
        <v>4</v>
      </c>
    </row>
    <row r="25" spans="1:16" x14ac:dyDescent="0.25">
      <c r="A25" t="s">
        <v>107</v>
      </c>
      <c r="B25" t="s">
        <v>35</v>
      </c>
      <c r="C25" t="s">
        <v>85</v>
      </c>
      <c r="D25" t="s">
        <v>11</v>
      </c>
      <c r="E25" t="s">
        <v>108</v>
      </c>
      <c r="F25" t="s">
        <v>87</v>
      </c>
      <c r="G25" t="s">
        <v>370</v>
      </c>
      <c r="H25" t="s">
        <v>357</v>
      </c>
      <c r="I25" s="2">
        <v>1</v>
      </c>
      <c r="J25" s="2">
        <v>1</v>
      </c>
      <c r="K25" s="2">
        <v>0</v>
      </c>
      <c r="L25" s="2">
        <v>1</v>
      </c>
      <c r="M25" s="4">
        <f t="shared" si="0"/>
        <v>4</v>
      </c>
      <c r="N25" s="4">
        <f t="shared" si="1"/>
        <v>4</v>
      </c>
      <c r="O25" s="4">
        <f t="shared" si="2"/>
        <v>0</v>
      </c>
      <c r="P25" s="4">
        <f t="shared" si="3"/>
        <v>4</v>
      </c>
    </row>
    <row r="26" spans="1:16" x14ac:dyDescent="0.25">
      <c r="A26" t="s">
        <v>109</v>
      </c>
      <c r="B26" t="s">
        <v>35</v>
      </c>
      <c r="C26" t="s">
        <v>110</v>
      </c>
      <c r="D26" t="s">
        <v>20</v>
      </c>
      <c r="E26" t="s">
        <v>111</v>
      </c>
      <c r="F26" t="s">
        <v>112</v>
      </c>
      <c r="G26" t="s">
        <v>369</v>
      </c>
      <c r="H26" t="s">
        <v>359</v>
      </c>
      <c r="I26" s="2">
        <v>1</v>
      </c>
      <c r="J26" s="2">
        <v>1</v>
      </c>
      <c r="K26" s="2">
        <v>0</v>
      </c>
      <c r="L26" s="2">
        <v>1</v>
      </c>
      <c r="M26" s="4">
        <f t="shared" si="0"/>
        <v>4</v>
      </c>
      <c r="N26" s="4">
        <f t="shared" si="1"/>
        <v>4</v>
      </c>
      <c r="O26" s="4">
        <f t="shared" si="2"/>
        <v>0</v>
      </c>
      <c r="P26" s="4">
        <f t="shared" si="3"/>
        <v>4</v>
      </c>
    </row>
    <row r="27" spans="1:16" x14ac:dyDescent="0.25">
      <c r="A27" t="s">
        <v>188</v>
      </c>
      <c r="B27" t="s">
        <v>35</v>
      </c>
      <c r="C27" t="s">
        <v>171</v>
      </c>
      <c r="D27" t="s">
        <v>23</v>
      </c>
      <c r="E27" t="s">
        <v>189</v>
      </c>
      <c r="F27" t="s">
        <v>173</v>
      </c>
      <c r="G27" t="s">
        <v>363</v>
      </c>
      <c r="H27" t="s">
        <v>362</v>
      </c>
      <c r="I27" s="2">
        <v>1</v>
      </c>
      <c r="J27" s="2">
        <v>1</v>
      </c>
      <c r="K27" s="2">
        <v>0</v>
      </c>
      <c r="L27" s="2">
        <v>1</v>
      </c>
      <c r="M27" s="4">
        <f t="shared" si="0"/>
        <v>4</v>
      </c>
      <c r="N27" s="4">
        <f t="shared" si="1"/>
        <v>4</v>
      </c>
      <c r="O27" s="4">
        <f t="shared" si="2"/>
        <v>0</v>
      </c>
      <c r="P27" s="4">
        <f t="shared" si="3"/>
        <v>4</v>
      </c>
    </row>
    <row r="28" spans="1:16" x14ac:dyDescent="0.25">
      <c r="A28" t="s">
        <v>193</v>
      </c>
      <c r="B28" t="s">
        <v>35</v>
      </c>
      <c r="C28" t="s">
        <v>37</v>
      </c>
      <c r="D28" t="s">
        <v>194</v>
      </c>
      <c r="E28" t="s">
        <v>195</v>
      </c>
      <c r="F28" t="s">
        <v>81</v>
      </c>
      <c r="G28" t="s">
        <v>370</v>
      </c>
      <c r="H28" t="s">
        <v>367</v>
      </c>
      <c r="I28" s="2">
        <v>1</v>
      </c>
      <c r="J28" s="2">
        <v>1</v>
      </c>
      <c r="K28" s="2">
        <v>0</v>
      </c>
      <c r="L28" s="2">
        <v>1</v>
      </c>
      <c r="M28" s="4">
        <f t="shared" si="0"/>
        <v>4</v>
      </c>
      <c r="N28" s="4">
        <f t="shared" si="1"/>
        <v>4</v>
      </c>
      <c r="O28" s="4">
        <f t="shared" si="2"/>
        <v>0</v>
      </c>
      <c r="P28" s="4">
        <f t="shared" si="3"/>
        <v>4</v>
      </c>
    </row>
    <row r="29" spans="1:16" x14ac:dyDescent="0.25">
      <c r="A29" t="s">
        <v>167</v>
      </c>
      <c r="B29" t="s">
        <v>35</v>
      </c>
      <c r="C29" t="s">
        <v>37</v>
      </c>
      <c r="D29" t="s">
        <v>168</v>
      </c>
      <c r="E29" t="s">
        <v>169</v>
      </c>
      <c r="F29" t="s">
        <v>40</v>
      </c>
      <c r="G29" t="s">
        <v>363</v>
      </c>
      <c r="H29" t="s">
        <v>357</v>
      </c>
      <c r="I29" s="2">
        <v>1</v>
      </c>
      <c r="J29" s="2">
        <v>1</v>
      </c>
      <c r="K29" s="2">
        <v>0</v>
      </c>
      <c r="L29" s="2">
        <v>0.7</v>
      </c>
      <c r="M29" s="4">
        <f t="shared" si="0"/>
        <v>4</v>
      </c>
      <c r="N29" s="4">
        <f t="shared" si="1"/>
        <v>4</v>
      </c>
      <c r="O29" s="4">
        <f t="shared" si="2"/>
        <v>0</v>
      </c>
      <c r="P29" s="4">
        <f t="shared" si="3"/>
        <v>3</v>
      </c>
    </row>
    <row r="30" spans="1:16" x14ac:dyDescent="0.25">
      <c r="A30" t="s">
        <v>84</v>
      </c>
      <c r="B30" t="s">
        <v>35</v>
      </c>
      <c r="C30" t="s">
        <v>85</v>
      </c>
      <c r="D30" t="s">
        <v>14</v>
      </c>
      <c r="E30" t="s">
        <v>86</v>
      </c>
      <c r="F30" t="s">
        <v>87</v>
      </c>
      <c r="G30" t="s">
        <v>363</v>
      </c>
      <c r="H30" t="s">
        <v>367</v>
      </c>
      <c r="I30" s="2">
        <v>1</v>
      </c>
      <c r="J30" s="2">
        <v>0.7</v>
      </c>
      <c r="K30" s="2">
        <v>0</v>
      </c>
      <c r="L30" s="2">
        <v>1</v>
      </c>
      <c r="M30" s="4">
        <f t="shared" si="0"/>
        <v>4</v>
      </c>
      <c r="N30" s="4">
        <f t="shared" si="1"/>
        <v>3</v>
      </c>
      <c r="O30" s="4">
        <f t="shared" si="2"/>
        <v>0</v>
      </c>
      <c r="P30" s="4">
        <f t="shared" si="3"/>
        <v>4</v>
      </c>
    </row>
    <row r="31" spans="1:16" x14ac:dyDescent="0.25">
      <c r="A31" t="s">
        <v>209</v>
      </c>
      <c r="B31" t="s">
        <v>35</v>
      </c>
      <c r="C31" t="s">
        <v>210</v>
      </c>
      <c r="D31" t="s">
        <v>211</v>
      </c>
      <c r="E31" t="s">
        <v>212</v>
      </c>
      <c r="F31" t="s">
        <v>213</v>
      </c>
      <c r="G31" t="s">
        <v>369</v>
      </c>
      <c r="H31" t="s">
        <v>359</v>
      </c>
      <c r="I31" s="2">
        <v>1</v>
      </c>
      <c r="J31" s="2">
        <v>1</v>
      </c>
      <c r="K31" s="2">
        <v>0.35</v>
      </c>
      <c r="L31" s="2">
        <v>0.7</v>
      </c>
      <c r="M31" s="4">
        <f t="shared" si="0"/>
        <v>4</v>
      </c>
      <c r="N31" s="4">
        <f t="shared" si="1"/>
        <v>4</v>
      </c>
      <c r="O31" s="4">
        <f t="shared" si="2"/>
        <v>2</v>
      </c>
      <c r="P31" s="4">
        <f t="shared" si="3"/>
        <v>3</v>
      </c>
    </row>
    <row r="32" spans="1:16" x14ac:dyDescent="0.25">
      <c r="A32" t="s">
        <v>196</v>
      </c>
      <c r="B32" t="s">
        <v>35</v>
      </c>
      <c r="C32" t="s">
        <v>37</v>
      </c>
      <c r="D32" t="s">
        <v>197</v>
      </c>
      <c r="E32" t="s">
        <v>198</v>
      </c>
      <c r="F32" t="s">
        <v>81</v>
      </c>
      <c r="G32" t="s">
        <v>360</v>
      </c>
      <c r="H32" t="s">
        <v>362</v>
      </c>
      <c r="I32" s="2">
        <v>1</v>
      </c>
      <c r="J32" s="2">
        <v>1</v>
      </c>
      <c r="K32" s="2">
        <v>0</v>
      </c>
      <c r="L32" s="2">
        <v>0.7</v>
      </c>
      <c r="M32" s="4">
        <f t="shared" si="0"/>
        <v>4</v>
      </c>
      <c r="N32" s="4">
        <f t="shared" si="1"/>
        <v>4</v>
      </c>
      <c r="O32" s="4">
        <f t="shared" si="2"/>
        <v>0</v>
      </c>
      <c r="P32" s="4">
        <f t="shared" si="3"/>
        <v>3</v>
      </c>
    </row>
    <row r="33" spans="1:16" x14ac:dyDescent="0.25">
      <c r="A33" t="s">
        <v>222</v>
      </c>
      <c r="B33" t="s">
        <v>35</v>
      </c>
      <c r="C33" t="s">
        <v>130</v>
      </c>
      <c r="D33" t="s">
        <v>223</v>
      </c>
      <c r="E33" t="s">
        <v>224</v>
      </c>
      <c r="F33" t="s">
        <v>133</v>
      </c>
      <c r="G33" t="s">
        <v>372</v>
      </c>
      <c r="H33" t="s">
        <v>373</v>
      </c>
      <c r="I33" s="2">
        <v>1</v>
      </c>
      <c r="J33" s="2">
        <v>0.7</v>
      </c>
      <c r="K33" s="2">
        <v>0</v>
      </c>
      <c r="L33" s="2">
        <v>1</v>
      </c>
      <c r="M33" s="4">
        <f t="shared" si="0"/>
        <v>4</v>
      </c>
      <c r="N33" s="4">
        <f t="shared" si="1"/>
        <v>3</v>
      </c>
      <c r="O33" s="4">
        <f t="shared" si="2"/>
        <v>0</v>
      </c>
      <c r="P33" s="4">
        <f t="shared" si="3"/>
        <v>4</v>
      </c>
    </row>
    <row r="34" spans="1:16" x14ac:dyDescent="0.25">
      <c r="A34" t="s">
        <v>102</v>
      </c>
      <c r="B34" t="s">
        <v>35</v>
      </c>
      <c r="C34" t="s">
        <v>103</v>
      </c>
      <c r="D34" t="s">
        <v>104</v>
      </c>
      <c r="E34" t="s">
        <v>105</v>
      </c>
      <c r="F34" t="s">
        <v>106</v>
      </c>
      <c r="G34" t="s">
        <v>360</v>
      </c>
      <c r="H34" t="s">
        <v>357</v>
      </c>
      <c r="I34" s="2">
        <v>1</v>
      </c>
      <c r="J34" s="2">
        <v>0.7</v>
      </c>
      <c r="K34" s="2">
        <v>0</v>
      </c>
      <c r="L34" s="2">
        <v>1</v>
      </c>
      <c r="M34" s="4">
        <f t="shared" ref="M34:M65" si="4">IF(I34=1,4,IF(I34=0.7,3,IF(I34=0.35,2,IF(I34=0.1,1,0))))</f>
        <v>4</v>
      </c>
      <c r="N34" s="4">
        <f t="shared" ref="N34:N65" si="5">IF(J34=1,4,IF(J34=0.7,3,IF(J34=0.35,2,IF(J34=0.1,1,0))))</f>
        <v>3</v>
      </c>
      <c r="O34" s="4">
        <f t="shared" ref="O34:O65" si="6">IF(K34=1,4,IF(K34=0.7,3,IF(K34=0.35,2,IF(K34=0.1,1,0))))</f>
        <v>0</v>
      </c>
      <c r="P34" s="4">
        <f t="shared" si="3"/>
        <v>4</v>
      </c>
    </row>
    <row r="35" spans="1:16" x14ac:dyDescent="0.25">
      <c r="A35" t="s">
        <v>199</v>
      </c>
      <c r="B35" t="s">
        <v>35</v>
      </c>
      <c r="C35" t="s">
        <v>139</v>
      </c>
      <c r="D35" t="s">
        <v>200</v>
      </c>
      <c r="E35" t="s">
        <v>201</v>
      </c>
      <c r="F35" t="s">
        <v>142</v>
      </c>
      <c r="G35" t="s">
        <v>369</v>
      </c>
      <c r="H35" t="s">
        <v>359</v>
      </c>
      <c r="I35" s="2">
        <v>1</v>
      </c>
      <c r="J35" s="2">
        <v>1</v>
      </c>
      <c r="K35" s="2">
        <v>0.35</v>
      </c>
      <c r="L35" s="2">
        <v>0.7</v>
      </c>
      <c r="M35" s="4">
        <f t="shared" si="4"/>
        <v>4</v>
      </c>
      <c r="N35" s="4">
        <f t="shared" si="5"/>
        <v>4</v>
      </c>
      <c r="O35" s="4">
        <f t="shared" si="6"/>
        <v>2</v>
      </c>
      <c r="P35" s="4">
        <f t="shared" si="3"/>
        <v>3</v>
      </c>
    </row>
    <row r="36" spans="1:16" x14ac:dyDescent="0.25">
      <c r="A36" t="s">
        <v>138</v>
      </c>
      <c r="B36" t="s">
        <v>35</v>
      </c>
      <c r="C36" t="s">
        <v>139</v>
      </c>
      <c r="D36" t="s">
        <v>140</v>
      </c>
      <c r="E36" t="s">
        <v>141</v>
      </c>
      <c r="F36" t="s">
        <v>142</v>
      </c>
      <c r="G36" t="s">
        <v>366</v>
      </c>
      <c r="H36" t="s">
        <v>359</v>
      </c>
      <c r="I36" s="2">
        <v>1</v>
      </c>
      <c r="J36" s="2">
        <v>1</v>
      </c>
      <c r="K36" s="2">
        <v>0</v>
      </c>
      <c r="L36" s="2">
        <v>0.7</v>
      </c>
      <c r="M36" s="4">
        <f t="shared" si="4"/>
        <v>4</v>
      </c>
      <c r="N36" s="4">
        <f t="shared" si="5"/>
        <v>4</v>
      </c>
      <c r="O36" s="4">
        <f t="shared" si="6"/>
        <v>0</v>
      </c>
      <c r="P36" s="4">
        <f t="shared" ref="P36:P55" si="7">IF(L36=1,4,IF(L36=0.7,3,IF(L36=0.35,2,IF(L36=0.1,1,0))))</f>
        <v>3</v>
      </c>
    </row>
    <row r="37" spans="1:16" x14ac:dyDescent="0.25">
      <c r="A37" t="s">
        <v>143</v>
      </c>
      <c r="B37" t="s">
        <v>35</v>
      </c>
      <c r="C37" t="s">
        <v>85</v>
      </c>
      <c r="D37" t="s">
        <v>12</v>
      </c>
      <c r="E37" t="s">
        <v>144</v>
      </c>
      <c r="F37" t="s">
        <v>87</v>
      </c>
      <c r="G37" t="s">
        <v>370</v>
      </c>
      <c r="H37" t="s">
        <v>371</v>
      </c>
      <c r="I37" s="2">
        <v>1</v>
      </c>
      <c r="J37" s="2">
        <v>1</v>
      </c>
      <c r="K37" s="2">
        <v>0</v>
      </c>
      <c r="L37" s="2">
        <v>0.7</v>
      </c>
      <c r="M37" s="4">
        <f t="shared" si="4"/>
        <v>4</v>
      </c>
      <c r="N37" s="4">
        <f t="shared" si="5"/>
        <v>4</v>
      </c>
      <c r="O37" s="4">
        <f t="shared" si="6"/>
        <v>0</v>
      </c>
      <c r="P37" s="4">
        <f t="shared" si="7"/>
        <v>3</v>
      </c>
    </row>
    <row r="38" spans="1:16" x14ac:dyDescent="0.25">
      <c r="A38" t="s">
        <v>150</v>
      </c>
      <c r="B38" t="s">
        <v>35</v>
      </c>
      <c r="C38" t="s">
        <v>37</v>
      </c>
      <c r="D38" t="s">
        <v>151</v>
      </c>
      <c r="E38" t="s">
        <v>152</v>
      </c>
      <c r="F38" t="s">
        <v>40</v>
      </c>
      <c r="G38" t="s">
        <v>370</v>
      </c>
      <c r="H38" t="s">
        <v>358</v>
      </c>
      <c r="I38" s="2">
        <v>1</v>
      </c>
      <c r="J38" s="2">
        <v>1</v>
      </c>
      <c r="K38" s="2">
        <v>0</v>
      </c>
      <c r="L38" s="2">
        <v>0.7</v>
      </c>
      <c r="M38" s="4">
        <f t="shared" si="4"/>
        <v>4</v>
      </c>
      <c r="N38" s="4">
        <f t="shared" si="5"/>
        <v>4</v>
      </c>
      <c r="O38" s="4">
        <f t="shared" si="6"/>
        <v>0</v>
      </c>
      <c r="P38" s="4">
        <f t="shared" si="7"/>
        <v>3</v>
      </c>
    </row>
    <row r="39" spans="1:16" x14ac:dyDescent="0.25">
      <c r="A39" t="s">
        <v>283</v>
      </c>
      <c r="B39" t="s">
        <v>35</v>
      </c>
      <c r="C39" t="s">
        <v>42</v>
      </c>
      <c r="D39" t="s">
        <v>281</v>
      </c>
      <c r="E39" t="s">
        <v>284</v>
      </c>
      <c r="F39" t="s">
        <v>45</v>
      </c>
      <c r="G39" t="s">
        <v>361</v>
      </c>
      <c r="H39" t="s">
        <v>362</v>
      </c>
      <c r="I39" s="2">
        <v>1</v>
      </c>
      <c r="J39" s="2">
        <v>0.7</v>
      </c>
      <c r="K39" s="2">
        <v>0</v>
      </c>
      <c r="L39" s="2">
        <v>1</v>
      </c>
      <c r="M39" s="4">
        <f t="shared" si="4"/>
        <v>4</v>
      </c>
      <c r="N39" s="4">
        <f t="shared" si="5"/>
        <v>3</v>
      </c>
      <c r="O39" s="4">
        <f t="shared" si="6"/>
        <v>0</v>
      </c>
      <c r="P39" s="4">
        <f t="shared" si="7"/>
        <v>4</v>
      </c>
    </row>
    <row r="40" spans="1:16" x14ac:dyDescent="0.25">
      <c r="A40" t="s">
        <v>322</v>
      </c>
      <c r="B40" t="s">
        <v>35</v>
      </c>
      <c r="C40" t="s">
        <v>288</v>
      </c>
      <c r="D40" t="s">
        <v>323</v>
      </c>
      <c r="E40" t="s">
        <v>324</v>
      </c>
      <c r="F40" t="s">
        <v>291</v>
      </c>
      <c r="G40" t="s">
        <v>374</v>
      </c>
      <c r="H40" t="s">
        <v>371</v>
      </c>
      <c r="I40" s="2">
        <v>1</v>
      </c>
      <c r="J40" s="2">
        <v>0.7</v>
      </c>
      <c r="K40" s="2">
        <v>0</v>
      </c>
      <c r="L40" s="2">
        <v>1</v>
      </c>
      <c r="M40" s="4">
        <f t="shared" si="4"/>
        <v>4</v>
      </c>
      <c r="N40" s="4">
        <f t="shared" si="5"/>
        <v>3</v>
      </c>
      <c r="O40" s="4">
        <f t="shared" si="6"/>
        <v>0</v>
      </c>
      <c r="P40" s="4">
        <f t="shared" si="7"/>
        <v>4</v>
      </c>
    </row>
    <row r="41" spans="1:16" x14ac:dyDescent="0.25">
      <c r="A41" t="s">
        <v>88</v>
      </c>
      <c r="B41" t="s">
        <v>35</v>
      </c>
      <c r="C41" t="s">
        <v>64</v>
      </c>
      <c r="D41" t="s">
        <v>27</v>
      </c>
      <c r="E41" t="s">
        <v>89</v>
      </c>
      <c r="F41" t="s">
        <v>67</v>
      </c>
      <c r="G41" t="s">
        <v>360</v>
      </c>
      <c r="H41" t="s">
        <v>362</v>
      </c>
      <c r="I41" s="2">
        <v>1</v>
      </c>
      <c r="J41" s="2">
        <v>1</v>
      </c>
      <c r="K41" s="2">
        <v>0</v>
      </c>
      <c r="L41" s="2">
        <v>0.7</v>
      </c>
      <c r="M41" s="4">
        <f t="shared" si="4"/>
        <v>4</v>
      </c>
      <c r="N41" s="4">
        <f t="shared" si="5"/>
        <v>4</v>
      </c>
      <c r="O41" s="4">
        <f t="shared" si="6"/>
        <v>0</v>
      </c>
      <c r="P41" s="4">
        <f t="shared" si="7"/>
        <v>3</v>
      </c>
    </row>
    <row r="42" spans="1:16" x14ac:dyDescent="0.25">
      <c r="A42" t="s">
        <v>317</v>
      </c>
      <c r="B42" t="s">
        <v>35</v>
      </c>
      <c r="C42" t="s">
        <v>37</v>
      </c>
      <c r="D42" t="s">
        <v>300</v>
      </c>
      <c r="E42" t="s">
        <v>318</v>
      </c>
      <c r="F42" t="s">
        <v>81</v>
      </c>
      <c r="G42" t="s">
        <v>369</v>
      </c>
      <c r="H42" t="s">
        <v>362</v>
      </c>
      <c r="I42" s="2">
        <v>1</v>
      </c>
      <c r="J42" s="2">
        <v>1</v>
      </c>
      <c r="K42" s="2">
        <v>0</v>
      </c>
      <c r="L42" s="2">
        <v>0.7</v>
      </c>
      <c r="M42" s="4">
        <f t="shared" si="4"/>
        <v>4</v>
      </c>
      <c r="N42" s="4">
        <f t="shared" si="5"/>
        <v>4</v>
      </c>
      <c r="O42" s="4">
        <f t="shared" si="6"/>
        <v>0</v>
      </c>
      <c r="P42" s="4">
        <f t="shared" si="7"/>
        <v>3</v>
      </c>
    </row>
    <row r="43" spans="1:16" x14ac:dyDescent="0.25">
      <c r="A43" t="s">
        <v>158</v>
      </c>
      <c r="B43" t="s">
        <v>35</v>
      </c>
      <c r="C43" t="s">
        <v>91</v>
      </c>
      <c r="D43" t="s">
        <v>159</v>
      </c>
      <c r="E43" t="s">
        <v>160</v>
      </c>
      <c r="F43" t="s">
        <v>94</v>
      </c>
      <c r="G43" t="s">
        <v>361</v>
      </c>
      <c r="H43" t="s">
        <v>367</v>
      </c>
      <c r="I43" s="2">
        <v>1</v>
      </c>
      <c r="J43" s="2">
        <v>1</v>
      </c>
      <c r="K43" s="2">
        <v>0</v>
      </c>
      <c r="L43" s="2">
        <v>0.7</v>
      </c>
      <c r="M43" s="4">
        <f t="shared" si="4"/>
        <v>4</v>
      </c>
      <c r="N43" s="4">
        <f t="shared" si="5"/>
        <v>4</v>
      </c>
      <c r="O43" s="4">
        <f t="shared" si="6"/>
        <v>0</v>
      </c>
      <c r="P43" s="4">
        <f t="shared" si="7"/>
        <v>3</v>
      </c>
    </row>
    <row r="44" spans="1:16" x14ac:dyDescent="0.25">
      <c r="A44" t="s">
        <v>163</v>
      </c>
      <c r="B44" t="s">
        <v>35</v>
      </c>
      <c r="C44" t="s">
        <v>164</v>
      </c>
      <c r="D44" t="s">
        <v>165</v>
      </c>
      <c r="E44" t="s">
        <v>156</v>
      </c>
      <c r="F44" t="s">
        <v>166</v>
      </c>
      <c r="G44" t="s">
        <v>364</v>
      </c>
      <c r="H44" t="s">
        <v>362</v>
      </c>
      <c r="I44" s="2">
        <v>1</v>
      </c>
      <c r="J44" s="2">
        <v>1</v>
      </c>
      <c r="K44" s="2">
        <v>0</v>
      </c>
      <c r="L44" s="2">
        <v>0.7</v>
      </c>
      <c r="M44" s="4">
        <f t="shared" si="4"/>
        <v>4</v>
      </c>
      <c r="N44" s="4">
        <f t="shared" si="5"/>
        <v>4</v>
      </c>
      <c r="O44" s="4">
        <f t="shared" si="6"/>
        <v>0</v>
      </c>
      <c r="P44" s="4">
        <f t="shared" si="7"/>
        <v>3</v>
      </c>
    </row>
    <row r="45" spans="1:16" x14ac:dyDescent="0.25">
      <c r="A45" t="s">
        <v>121</v>
      </c>
      <c r="B45" t="s">
        <v>35</v>
      </c>
      <c r="C45" t="s">
        <v>122</v>
      </c>
      <c r="D45" t="s">
        <v>26</v>
      </c>
      <c r="E45" t="s">
        <v>123</v>
      </c>
      <c r="F45" t="s">
        <v>124</v>
      </c>
      <c r="G45" t="s">
        <v>370</v>
      </c>
      <c r="H45" t="s">
        <v>371</v>
      </c>
      <c r="I45" s="2">
        <v>1</v>
      </c>
      <c r="J45" s="2">
        <v>0.7</v>
      </c>
      <c r="K45" s="2">
        <v>0</v>
      </c>
      <c r="L45" s="2">
        <v>0.7</v>
      </c>
      <c r="M45" s="4">
        <f t="shared" si="4"/>
        <v>4</v>
      </c>
      <c r="N45" s="4">
        <f t="shared" si="5"/>
        <v>3</v>
      </c>
      <c r="O45" s="4">
        <f t="shared" si="6"/>
        <v>0</v>
      </c>
      <c r="P45" s="4">
        <f t="shared" si="7"/>
        <v>3</v>
      </c>
    </row>
    <row r="46" spans="1:16" x14ac:dyDescent="0.25">
      <c r="A46" t="s">
        <v>242</v>
      </c>
      <c r="B46" t="s">
        <v>35</v>
      </c>
      <c r="C46" t="s">
        <v>85</v>
      </c>
      <c r="D46" t="s">
        <v>10</v>
      </c>
      <c r="E46" t="s">
        <v>243</v>
      </c>
      <c r="F46" t="s">
        <v>87</v>
      </c>
      <c r="G46" t="s">
        <v>370</v>
      </c>
      <c r="H46" t="s">
        <v>367</v>
      </c>
      <c r="I46" s="2">
        <v>0.7</v>
      </c>
      <c r="J46" s="2">
        <v>1</v>
      </c>
      <c r="K46" s="2">
        <v>0</v>
      </c>
      <c r="L46" s="2">
        <v>1</v>
      </c>
      <c r="M46" s="4">
        <f t="shared" si="4"/>
        <v>3</v>
      </c>
      <c r="N46" s="4">
        <f t="shared" si="5"/>
        <v>4</v>
      </c>
      <c r="O46" s="4">
        <f t="shared" si="6"/>
        <v>0</v>
      </c>
      <c r="P46" s="4">
        <f t="shared" si="7"/>
        <v>4</v>
      </c>
    </row>
    <row r="47" spans="1:16" x14ac:dyDescent="0.25">
      <c r="A47" t="s">
        <v>285</v>
      </c>
      <c r="B47" t="s">
        <v>35</v>
      </c>
      <c r="C47" t="s">
        <v>239</v>
      </c>
      <c r="D47" t="s">
        <v>16</v>
      </c>
      <c r="E47" t="s">
        <v>286</v>
      </c>
      <c r="F47" t="s">
        <v>241</v>
      </c>
      <c r="G47" t="s">
        <v>361</v>
      </c>
      <c r="H47" t="s">
        <v>359</v>
      </c>
      <c r="I47" s="2">
        <v>1</v>
      </c>
      <c r="J47" s="2">
        <v>1</v>
      </c>
      <c r="K47" s="2">
        <v>0</v>
      </c>
      <c r="L47" s="2">
        <v>0.7</v>
      </c>
      <c r="M47" s="4">
        <f t="shared" si="4"/>
        <v>4</v>
      </c>
      <c r="N47" s="4">
        <f t="shared" si="5"/>
        <v>4</v>
      </c>
      <c r="O47" s="4">
        <f t="shared" si="6"/>
        <v>0</v>
      </c>
      <c r="P47" s="4">
        <f t="shared" si="7"/>
        <v>3</v>
      </c>
    </row>
    <row r="48" spans="1:16" x14ac:dyDescent="0.25">
      <c r="A48" t="s">
        <v>190</v>
      </c>
      <c r="B48" t="s">
        <v>35</v>
      </c>
      <c r="C48" t="s">
        <v>37</v>
      </c>
      <c r="D48" t="s">
        <v>191</v>
      </c>
      <c r="E48" t="s">
        <v>192</v>
      </c>
      <c r="F48" t="s">
        <v>40</v>
      </c>
      <c r="G48" t="s">
        <v>369</v>
      </c>
      <c r="H48" t="s">
        <v>362</v>
      </c>
      <c r="I48" s="2">
        <v>1</v>
      </c>
      <c r="J48" s="2">
        <v>1</v>
      </c>
      <c r="K48" s="2">
        <v>0</v>
      </c>
      <c r="L48" s="2">
        <v>0.7</v>
      </c>
      <c r="M48" s="4">
        <f t="shared" si="4"/>
        <v>4</v>
      </c>
      <c r="N48" s="4">
        <f t="shared" si="5"/>
        <v>4</v>
      </c>
      <c r="O48" s="4">
        <f t="shared" si="6"/>
        <v>0</v>
      </c>
      <c r="P48" s="4">
        <f t="shared" si="7"/>
        <v>3</v>
      </c>
    </row>
    <row r="49" spans="1:16" x14ac:dyDescent="0.25">
      <c r="A49" t="s">
        <v>255</v>
      </c>
      <c r="B49" t="s">
        <v>35</v>
      </c>
      <c r="C49" t="s">
        <v>239</v>
      </c>
      <c r="D49" t="s">
        <v>17</v>
      </c>
      <c r="E49" t="s">
        <v>256</v>
      </c>
      <c r="F49" t="s">
        <v>241</v>
      </c>
      <c r="G49" t="s">
        <v>372</v>
      </c>
      <c r="H49" t="s">
        <v>373</v>
      </c>
      <c r="I49" s="2">
        <v>0.7</v>
      </c>
      <c r="J49" s="2">
        <v>0.7</v>
      </c>
      <c r="K49" s="2">
        <v>0</v>
      </c>
      <c r="L49" s="2">
        <v>1</v>
      </c>
      <c r="M49" s="4">
        <f t="shared" si="4"/>
        <v>3</v>
      </c>
      <c r="N49" s="4">
        <f t="shared" si="5"/>
        <v>3</v>
      </c>
      <c r="O49" s="4">
        <f t="shared" si="6"/>
        <v>0</v>
      </c>
      <c r="P49" s="4">
        <f t="shared" si="7"/>
        <v>4</v>
      </c>
    </row>
    <row r="50" spans="1:16" x14ac:dyDescent="0.25">
      <c r="A50" t="s">
        <v>202</v>
      </c>
      <c r="B50" t="s">
        <v>35</v>
      </c>
      <c r="C50" t="s">
        <v>37</v>
      </c>
      <c r="D50" t="s">
        <v>203</v>
      </c>
      <c r="E50" t="s">
        <v>204</v>
      </c>
      <c r="F50" t="s">
        <v>81</v>
      </c>
      <c r="G50" t="s">
        <v>360</v>
      </c>
      <c r="H50" t="s">
        <v>357</v>
      </c>
      <c r="I50" s="2">
        <v>1</v>
      </c>
      <c r="J50" s="2">
        <v>0.7</v>
      </c>
      <c r="K50" s="2">
        <v>0</v>
      </c>
      <c r="L50" s="2">
        <v>0.7</v>
      </c>
      <c r="M50" s="4">
        <f t="shared" si="4"/>
        <v>4</v>
      </c>
      <c r="N50" s="4">
        <f t="shared" si="5"/>
        <v>3</v>
      </c>
      <c r="O50" s="4">
        <f t="shared" si="6"/>
        <v>0</v>
      </c>
      <c r="P50" s="4">
        <f t="shared" si="7"/>
        <v>3</v>
      </c>
    </row>
    <row r="51" spans="1:16" x14ac:dyDescent="0.25">
      <c r="A51" t="s">
        <v>205</v>
      </c>
      <c r="B51" t="s">
        <v>35</v>
      </c>
      <c r="C51" t="s">
        <v>85</v>
      </c>
      <c r="D51" t="s">
        <v>15</v>
      </c>
      <c r="E51" t="s">
        <v>206</v>
      </c>
      <c r="F51" t="s">
        <v>87</v>
      </c>
      <c r="G51" t="s">
        <v>363</v>
      </c>
      <c r="H51" t="s">
        <v>358</v>
      </c>
      <c r="I51" s="2">
        <v>1</v>
      </c>
      <c r="J51" s="2">
        <v>0.7</v>
      </c>
      <c r="K51" s="2">
        <v>0</v>
      </c>
      <c r="L51" s="2">
        <v>0.7</v>
      </c>
      <c r="M51" s="4">
        <f t="shared" si="4"/>
        <v>4</v>
      </c>
      <c r="N51" s="4">
        <f t="shared" si="5"/>
        <v>3</v>
      </c>
      <c r="O51" s="4">
        <f t="shared" si="6"/>
        <v>0</v>
      </c>
      <c r="P51" s="4">
        <f t="shared" si="7"/>
        <v>3</v>
      </c>
    </row>
    <row r="52" spans="1:16" x14ac:dyDescent="0.25">
      <c r="A52" t="s">
        <v>153</v>
      </c>
      <c r="B52" t="s">
        <v>35</v>
      </c>
      <c r="C52" t="s">
        <v>154</v>
      </c>
      <c r="D52" t="s">
        <v>155</v>
      </c>
      <c r="E52" t="s">
        <v>156</v>
      </c>
      <c r="F52" t="s">
        <v>157</v>
      </c>
      <c r="G52" t="s">
        <v>360</v>
      </c>
      <c r="H52" t="s">
        <v>362</v>
      </c>
      <c r="I52" s="2">
        <v>1</v>
      </c>
      <c r="J52" s="2">
        <v>0.7</v>
      </c>
      <c r="K52" s="2">
        <v>0</v>
      </c>
      <c r="L52" s="2">
        <v>0.7</v>
      </c>
      <c r="M52" s="4">
        <f t="shared" si="4"/>
        <v>4</v>
      </c>
      <c r="N52" s="4">
        <f t="shared" si="5"/>
        <v>3</v>
      </c>
      <c r="O52" s="4">
        <f t="shared" si="6"/>
        <v>0</v>
      </c>
      <c r="P52" s="4">
        <f t="shared" si="7"/>
        <v>3</v>
      </c>
    </row>
    <row r="53" spans="1:16" x14ac:dyDescent="0.25">
      <c r="A53" t="s">
        <v>319</v>
      </c>
      <c r="B53" t="s">
        <v>35</v>
      </c>
      <c r="C53" t="s">
        <v>245</v>
      </c>
      <c r="D53" t="s">
        <v>320</v>
      </c>
      <c r="E53" t="s">
        <v>321</v>
      </c>
      <c r="F53" t="s">
        <v>248</v>
      </c>
      <c r="G53" t="s">
        <v>374</v>
      </c>
      <c r="H53" t="s">
        <v>362</v>
      </c>
      <c r="I53" s="2">
        <v>1</v>
      </c>
      <c r="J53" s="2">
        <v>0.7</v>
      </c>
      <c r="K53" s="2">
        <v>0</v>
      </c>
      <c r="L53" s="2">
        <v>0.7</v>
      </c>
      <c r="M53" s="4">
        <f t="shared" si="4"/>
        <v>4</v>
      </c>
      <c r="N53" s="4">
        <f t="shared" si="5"/>
        <v>3</v>
      </c>
      <c r="O53" s="4">
        <f t="shared" si="6"/>
        <v>0</v>
      </c>
      <c r="P53" s="4">
        <f t="shared" si="7"/>
        <v>3</v>
      </c>
    </row>
    <row r="54" spans="1:16" x14ac:dyDescent="0.25">
      <c r="A54" t="s">
        <v>214</v>
      </c>
      <c r="B54" t="s">
        <v>35</v>
      </c>
      <c r="C54" t="s">
        <v>139</v>
      </c>
      <c r="D54" t="s">
        <v>30</v>
      </c>
      <c r="E54" t="s">
        <v>215</v>
      </c>
      <c r="F54" t="s">
        <v>142</v>
      </c>
      <c r="G54" t="s">
        <v>372</v>
      </c>
      <c r="H54" t="s">
        <v>373</v>
      </c>
      <c r="I54" s="2">
        <v>1</v>
      </c>
      <c r="J54" s="2">
        <v>0.7</v>
      </c>
      <c r="K54" s="2">
        <v>0.1</v>
      </c>
      <c r="L54" s="2">
        <v>0.7</v>
      </c>
      <c r="M54" s="4">
        <f t="shared" si="4"/>
        <v>4</v>
      </c>
      <c r="N54" s="4">
        <f t="shared" si="5"/>
        <v>3</v>
      </c>
      <c r="O54" s="4">
        <f t="shared" si="6"/>
        <v>1</v>
      </c>
      <c r="P54" s="4">
        <f t="shared" si="7"/>
        <v>3</v>
      </c>
    </row>
    <row r="55" spans="1:16" x14ac:dyDescent="0.25">
      <c r="A55" t="s">
        <v>216</v>
      </c>
      <c r="B55" t="s">
        <v>35</v>
      </c>
      <c r="C55" t="s">
        <v>117</v>
      </c>
      <c r="D55" t="s">
        <v>217</v>
      </c>
      <c r="E55" t="s">
        <v>208</v>
      </c>
      <c r="F55" t="s">
        <v>120</v>
      </c>
      <c r="G55" t="s">
        <v>372</v>
      </c>
      <c r="H55" t="s">
        <v>373</v>
      </c>
      <c r="I55" s="2">
        <v>0.7</v>
      </c>
      <c r="J55" s="2">
        <v>1</v>
      </c>
      <c r="K55" s="2">
        <v>0</v>
      </c>
      <c r="L55" s="2">
        <v>0.7</v>
      </c>
      <c r="M55" s="4">
        <f t="shared" si="4"/>
        <v>3</v>
      </c>
      <c r="N55" s="4">
        <f t="shared" si="5"/>
        <v>4</v>
      </c>
      <c r="O55" s="4">
        <f t="shared" si="6"/>
        <v>0</v>
      </c>
      <c r="P55" s="4">
        <f t="shared" si="7"/>
        <v>3</v>
      </c>
    </row>
    <row r="56" spans="1:16" x14ac:dyDescent="0.25">
      <c r="A56" t="s">
        <v>218</v>
      </c>
      <c r="B56" t="s">
        <v>35</v>
      </c>
      <c r="C56" t="s">
        <v>219</v>
      </c>
      <c r="D56" t="s">
        <v>29</v>
      </c>
      <c r="E56" t="s">
        <v>220</v>
      </c>
      <c r="F56" t="s">
        <v>221</v>
      </c>
      <c r="G56" t="s">
        <v>372</v>
      </c>
      <c r="H56" t="s">
        <v>373</v>
      </c>
      <c r="I56" s="2">
        <v>0.7</v>
      </c>
      <c r="J56" s="2">
        <v>1</v>
      </c>
      <c r="K56" s="2">
        <v>0</v>
      </c>
      <c r="L56" s="2">
        <v>0.7</v>
      </c>
      <c r="M56" s="4">
        <f t="shared" si="4"/>
        <v>3</v>
      </c>
      <c r="N56" s="4">
        <f t="shared" si="5"/>
        <v>4</v>
      </c>
      <c r="O56" s="4">
        <f t="shared" si="6"/>
        <v>0</v>
      </c>
      <c r="P56" s="4">
        <f t="shared" ref="P56:P78" si="8">IF(L56=1,4,IF(L56=0.7,3,IF(L56=0.35,2,IF(L56=0.1,1,0))))</f>
        <v>3</v>
      </c>
    </row>
    <row r="57" spans="1:16" x14ac:dyDescent="0.25">
      <c r="A57" t="s">
        <v>309</v>
      </c>
      <c r="B57" t="s">
        <v>184</v>
      </c>
      <c r="C57" t="s">
        <v>310</v>
      </c>
      <c r="D57" t="s">
        <v>311</v>
      </c>
      <c r="E57" t="s">
        <v>312</v>
      </c>
      <c r="F57" t="s">
        <v>313</v>
      </c>
      <c r="G57" t="s">
        <v>370</v>
      </c>
      <c r="H57" t="s">
        <v>359</v>
      </c>
      <c r="I57" s="2">
        <v>0.7</v>
      </c>
      <c r="J57" s="2">
        <v>0.7</v>
      </c>
      <c r="K57" s="2">
        <v>0</v>
      </c>
      <c r="L57" s="2">
        <v>1</v>
      </c>
      <c r="M57" s="4">
        <f t="shared" si="4"/>
        <v>3</v>
      </c>
      <c r="N57" s="4">
        <f t="shared" si="5"/>
        <v>3</v>
      </c>
      <c r="O57" s="4">
        <f t="shared" si="6"/>
        <v>0</v>
      </c>
      <c r="P57" s="4">
        <f t="shared" si="8"/>
        <v>4</v>
      </c>
    </row>
    <row r="58" spans="1:16" x14ac:dyDescent="0.25">
      <c r="A58" t="s">
        <v>113</v>
      </c>
      <c r="B58" t="s">
        <v>35</v>
      </c>
      <c r="C58" t="s">
        <v>103</v>
      </c>
      <c r="D58" t="s">
        <v>114</v>
      </c>
      <c r="E58" t="s">
        <v>115</v>
      </c>
      <c r="F58" t="s">
        <v>106</v>
      </c>
      <c r="G58" t="s">
        <v>369</v>
      </c>
      <c r="H58" t="s">
        <v>357</v>
      </c>
      <c r="I58" s="2">
        <v>1</v>
      </c>
      <c r="J58" s="2">
        <v>0.7</v>
      </c>
      <c r="K58" s="2">
        <v>0</v>
      </c>
      <c r="L58" s="2">
        <v>0.7</v>
      </c>
      <c r="M58" s="4">
        <f t="shared" si="4"/>
        <v>4</v>
      </c>
      <c r="N58" s="4">
        <f t="shared" si="5"/>
        <v>3</v>
      </c>
      <c r="O58" s="4">
        <f t="shared" si="6"/>
        <v>0</v>
      </c>
      <c r="P58" s="4">
        <f t="shared" si="8"/>
        <v>3</v>
      </c>
    </row>
    <row r="59" spans="1:16" x14ac:dyDescent="0.25">
      <c r="A59" t="s">
        <v>233</v>
      </c>
      <c r="B59" t="s">
        <v>35</v>
      </c>
      <c r="C59" t="s">
        <v>234</v>
      </c>
      <c r="D59" t="s">
        <v>235</v>
      </c>
      <c r="E59" t="s">
        <v>236</v>
      </c>
      <c r="F59" t="s">
        <v>237</v>
      </c>
      <c r="G59" t="s">
        <v>372</v>
      </c>
      <c r="H59" t="s">
        <v>373</v>
      </c>
      <c r="I59" s="2">
        <v>0.7</v>
      </c>
      <c r="J59" s="2">
        <v>1</v>
      </c>
      <c r="K59" s="2">
        <v>0</v>
      </c>
      <c r="L59" s="2">
        <v>0.7</v>
      </c>
      <c r="M59" s="4">
        <f t="shared" si="4"/>
        <v>3</v>
      </c>
      <c r="N59" s="4">
        <f t="shared" si="5"/>
        <v>4</v>
      </c>
      <c r="O59" s="4">
        <f t="shared" si="6"/>
        <v>0</v>
      </c>
      <c r="P59" s="4">
        <f t="shared" si="8"/>
        <v>3</v>
      </c>
    </row>
    <row r="60" spans="1:16" x14ac:dyDescent="0.25">
      <c r="A60" t="s">
        <v>46</v>
      </c>
      <c r="B60" t="s">
        <v>35</v>
      </c>
      <c r="C60" t="s">
        <v>47</v>
      </c>
      <c r="D60" t="s">
        <v>48</v>
      </c>
      <c r="E60" t="s">
        <v>49</v>
      </c>
      <c r="F60" t="s">
        <v>50</v>
      </c>
      <c r="G60" t="s">
        <v>361</v>
      </c>
      <c r="H60" t="s">
        <v>359</v>
      </c>
      <c r="I60" s="2">
        <v>0.7</v>
      </c>
      <c r="J60" s="2">
        <v>1</v>
      </c>
      <c r="K60" s="2">
        <v>0</v>
      </c>
      <c r="L60" s="2">
        <v>0.7</v>
      </c>
      <c r="M60" s="4">
        <f t="shared" si="4"/>
        <v>3</v>
      </c>
      <c r="N60" s="4">
        <f t="shared" si="5"/>
        <v>4</v>
      </c>
      <c r="O60" s="4">
        <f t="shared" si="6"/>
        <v>0</v>
      </c>
      <c r="P60" s="4">
        <f t="shared" si="8"/>
        <v>3</v>
      </c>
    </row>
    <row r="61" spans="1:16" x14ac:dyDescent="0.25">
      <c r="A61" t="s">
        <v>238</v>
      </c>
      <c r="B61" t="s">
        <v>35</v>
      </c>
      <c r="C61" t="s">
        <v>239</v>
      </c>
      <c r="D61" t="s">
        <v>18</v>
      </c>
      <c r="E61" t="s">
        <v>240</v>
      </c>
      <c r="F61" t="s">
        <v>241</v>
      </c>
      <c r="G61" t="s">
        <v>368</v>
      </c>
      <c r="H61" t="s">
        <v>359</v>
      </c>
      <c r="I61" s="2">
        <v>0.7</v>
      </c>
      <c r="J61" s="2">
        <v>1</v>
      </c>
      <c r="K61" s="2">
        <v>0.1</v>
      </c>
      <c r="L61" s="2">
        <v>0.7</v>
      </c>
      <c r="M61" s="4">
        <f t="shared" si="4"/>
        <v>3</v>
      </c>
      <c r="N61" s="4">
        <f t="shared" si="5"/>
        <v>4</v>
      </c>
      <c r="O61" s="4">
        <f t="shared" si="6"/>
        <v>1</v>
      </c>
      <c r="P61" s="4">
        <f t="shared" si="8"/>
        <v>3</v>
      </c>
    </row>
    <row r="62" spans="1:16" x14ac:dyDescent="0.25">
      <c r="A62" t="s">
        <v>302</v>
      </c>
      <c r="B62" t="s">
        <v>35</v>
      </c>
      <c r="C62" t="s">
        <v>303</v>
      </c>
      <c r="D62" t="s">
        <v>304</v>
      </c>
      <c r="E62" t="s">
        <v>305</v>
      </c>
      <c r="F62" t="s">
        <v>306</v>
      </c>
      <c r="G62" t="s">
        <v>374</v>
      </c>
      <c r="H62" t="s">
        <v>359</v>
      </c>
      <c r="I62" s="2">
        <v>0.7</v>
      </c>
      <c r="J62" s="2">
        <v>1</v>
      </c>
      <c r="K62" s="2">
        <v>0</v>
      </c>
      <c r="L62" s="2">
        <v>0.7</v>
      </c>
      <c r="M62" s="4">
        <f t="shared" si="4"/>
        <v>3</v>
      </c>
      <c r="N62" s="4">
        <f t="shared" si="5"/>
        <v>4</v>
      </c>
      <c r="O62" s="4">
        <f t="shared" si="6"/>
        <v>0</v>
      </c>
      <c r="P62" s="4">
        <f t="shared" si="8"/>
        <v>3</v>
      </c>
    </row>
    <row r="63" spans="1:16" x14ac:dyDescent="0.25">
      <c r="A63" t="s">
        <v>244</v>
      </c>
      <c r="B63" t="s">
        <v>35</v>
      </c>
      <c r="C63" t="s">
        <v>245</v>
      </c>
      <c r="D63" t="s">
        <v>246</v>
      </c>
      <c r="E63" t="s">
        <v>247</v>
      </c>
      <c r="F63" t="s">
        <v>248</v>
      </c>
      <c r="G63" t="s">
        <v>374</v>
      </c>
      <c r="H63" t="s">
        <v>362</v>
      </c>
      <c r="I63" s="2">
        <v>0.7</v>
      </c>
      <c r="J63" s="2">
        <v>1</v>
      </c>
      <c r="K63" s="2">
        <v>0</v>
      </c>
      <c r="L63" s="2">
        <v>0.7</v>
      </c>
      <c r="M63" s="4">
        <f t="shared" si="4"/>
        <v>3</v>
      </c>
      <c r="N63" s="4">
        <f t="shared" si="5"/>
        <v>4</v>
      </c>
      <c r="O63" s="4">
        <f t="shared" si="6"/>
        <v>0</v>
      </c>
      <c r="P63" s="4">
        <f t="shared" si="8"/>
        <v>3</v>
      </c>
    </row>
    <row r="64" spans="1:16" x14ac:dyDescent="0.25">
      <c r="A64" t="s">
        <v>307</v>
      </c>
      <c r="B64" t="s">
        <v>35</v>
      </c>
      <c r="C64" t="s">
        <v>267</v>
      </c>
      <c r="D64" t="s">
        <v>308</v>
      </c>
      <c r="E64" t="s">
        <v>208</v>
      </c>
      <c r="F64" t="s">
        <v>270</v>
      </c>
      <c r="G64" t="s">
        <v>372</v>
      </c>
      <c r="H64" t="s">
        <v>373</v>
      </c>
      <c r="I64" s="2">
        <v>0.7</v>
      </c>
      <c r="J64" s="2">
        <v>1</v>
      </c>
      <c r="K64" s="2">
        <v>0</v>
      </c>
      <c r="L64" s="2">
        <v>0.7</v>
      </c>
      <c r="M64" s="4">
        <f t="shared" si="4"/>
        <v>3</v>
      </c>
      <c r="N64" s="4">
        <f t="shared" si="5"/>
        <v>4</v>
      </c>
      <c r="O64" s="4">
        <f t="shared" si="6"/>
        <v>0</v>
      </c>
      <c r="P64" s="4">
        <f t="shared" si="8"/>
        <v>3</v>
      </c>
    </row>
    <row r="65" spans="1:16" x14ac:dyDescent="0.25">
      <c r="A65" t="s">
        <v>314</v>
      </c>
      <c r="B65" t="s">
        <v>35</v>
      </c>
      <c r="C65" t="s">
        <v>37</v>
      </c>
      <c r="D65" t="s">
        <v>315</v>
      </c>
      <c r="E65" t="s">
        <v>316</v>
      </c>
      <c r="F65" t="s">
        <v>40</v>
      </c>
      <c r="G65" t="s">
        <v>375</v>
      </c>
      <c r="H65" t="s">
        <v>357</v>
      </c>
      <c r="I65" s="2">
        <v>0.7</v>
      </c>
      <c r="J65" s="2">
        <v>1</v>
      </c>
      <c r="K65" s="2">
        <v>0</v>
      </c>
      <c r="L65" s="2">
        <v>0.7</v>
      </c>
      <c r="M65" s="4">
        <f t="shared" si="4"/>
        <v>3</v>
      </c>
      <c r="N65" s="4">
        <f t="shared" si="5"/>
        <v>4</v>
      </c>
      <c r="O65" s="4">
        <f t="shared" si="6"/>
        <v>0</v>
      </c>
      <c r="P65" s="4">
        <f t="shared" si="8"/>
        <v>3</v>
      </c>
    </row>
    <row r="66" spans="1:16" x14ac:dyDescent="0.25">
      <c r="A66" t="s">
        <v>251</v>
      </c>
      <c r="B66" t="s">
        <v>35</v>
      </c>
      <c r="C66" t="s">
        <v>219</v>
      </c>
      <c r="D66" t="s">
        <v>252</v>
      </c>
      <c r="E66" t="s">
        <v>208</v>
      </c>
      <c r="F66" t="s">
        <v>221</v>
      </c>
      <c r="G66" t="s">
        <v>372</v>
      </c>
      <c r="H66" t="s">
        <v>373</v>
      </c>
      <c r="I66" s="2">
        <v>0.7</v>
      </c>
      <c r="J66" s="2">
        <v>0.7</v>
      </c>
      <c r="K66" s="2">
        <v>0</v>
      </c>
      <c r="L66" s="2">
        <v>0.7</v>
      </c>
      <c r="M66" s="4">
        <f t="shared" ref="M66:M91" si="9">IF(I66=1,4,IF(I66=0.7,3,IF(I66=0.35,2,IF(I66=0.1,1,0))))</f>
        <v>3</v>
      </c>
      <c r="N66" s="4">
        <f t="shared" ref="N66:N91" si="10">IF(J66=1,4,IF(J66=0.7,3,IF(J66=0.35,2,IF(J66=0.1,1,0))))</f>
        <v>3</v>
      </c>
      <c r="O66" s="4">
        <f t="shared" ref="O66:O91" si="11">IF(K66=1,4,IF(K66=0.7,3,IF(K66=0.35,2,IF(K66=0.1,1,0))))</f>
        <v>0</v>
      </c>
      <c r="P66" s="4">
        <f t="shared" si="8"/>
        <v>3</v>
      </c>
    </row>
    <row r="67" spans="1:16" x14ac:dyDescent="0.25">
      <c r="A67" t="s">
        <v>253</v>
      </c>
      <c r="B67" t="s">
        <v>35</v>
      </c>
      <c r="C67" t="s">
        <v>245</v>
      </c>
      <c r="D67" t="s">
        <v>13</v>
      </c>
      <c r="E67" t="s">
        <v>254</v>
      </c>
      <c r="F67" t="s">
        <v>248</v>
      </c>
      <c r="G67" t="s">
        <v>374</v>
      </c>
      <c r="H67" t="s">
        <v>362</v>
      </c>
      <c r="I67" s="2">
        <v>0.7</v>
      </c>
      <c r="J67" s="2">
        <v>0.7</v>
      </c>
      <c r="K67" s="2">
        <v>0</v>
      </c>
      <c r="L67" s="2">
        <v>0.7</v>
      </c>
      <c r="M67" s="4">
        <f t="shared" si="9"/>
        <v>3</v>
      </c>
      <c r="N67" s="4">
        <f t="shared" si="10"/>
        <v>3</v>
      </c>
      <c r="O67" s="4">
        <f t="shared" si="11"/>
        <v>0</v>
      </c>
      <c r="P67" s="4">
        <f t="shared" si="8"/>
        <v>3</v>
      </c>
    </row>
    <row r="68" spans="1:16" x14ac:dyDescent="0.25">
      <c r="A68" t="s">
        <v>287</v>
      </c>
      <c r="B68" t="s">
        <v>35</v>
      </c>
      <c r="C68" t="s">
        <v>288</v>
      </c>
      <c r="D68" t="s">
        <v>289</v>
      </c>
      <c r="E68" t="s">
        <v>290</v>
      </c>
      <c r="F68" t="s">
        <v>291</v>
      </c>
      <c r="G68" t="s">
        <v>369</v>
      </c>
      <c r="H68" t="s">
        <v>371</v>
      </c>
      <c r="I68" s="2">
        <v>0.7</v>
      </c>
      <c r="J68" s="2">
        <v>1</v>
      </c>
      <c r="K68" s="2">
        <v>0.35</v>
      </c>
      <c r="L68" s="2">
        <v>0.7</v>
      </c>
      <c r="M68" s="4">
        <f t="shared" si="9"/>
        <v>3</v>
      </c>
      <c r="N68" s="4">
        <f t="shared" si="10"/>
        <v>4</v>
      </c>
      <c r="O68" s="4">
        <f t="shared" si="11"/>
        <v>2</v>
      </c>
      <c r="P68" s="4">
        <f t="shared" si="8"/>
        <v>3</v>
      </c>
    </row>
    <row r="69" spans="1:16" x14ac:dyDescent="0.25">
      <c r="A69" t="s">
        <v>262</v>
      </c>
      <c r="B69" t="s">
        <v>35</v>
      </c>
      <c r="C69" t="s">
        <v>263</v>
      </c>
      <c r="D69" t="s">
        <v>264</v>
      </c>
      <c r="E69" t="s">
        <v>208</v>
      </c>
      <c r="F69" t="s">
        <v>265</v>
      </c>
      <c r="G69" t="s">
        <v>372</v>
      </c>
      <c r="H69" t="s">
        <v>373</v>
      </c>
      <c r="I69" s="2">
        <v>0.7</v>
      </c>
      <c r="J69" s="2">
        <v>0.7</v>
      </c>
      <c r="K69" s="2">
        <v>0.1</v>
      </c>
      <c r="L69" s="2">
        <v>0.7</v>
      </c>
      <c r="M69" s="4">
        <f t="shared" si="9"/>
        <v>3</v>
      </c>
      <c r="N69" s="4">
        <f t="shared" si="10"/>
        <v>3</v>
      </c>
      <c r="O69" s="4">
        <f t="shared" si="11"/>
        <v>1</v>
      </c>
      <c r="P69" s="4">
        <f t="shared" si="8"/>
        <v>3</v>
      </c>
    </row>
    <row r="70" spans="1:16" x14ac:dyDescent="0.25">
      <c r="A70" t="s">
        <v>174</v>
      </c>
      <c r="B70" t="s">
        <v>35</v>
      </c>
      <c r="C70" t="s">
        <v>175</v>
      </c>
      <c r="D70" t="s">
        <v>176</v>
      </c>
      <c r="E70" t="s">
        <v>177</v>
      </c>
      <c r="F70" t="s">
        <v>178</v>
      </c>
      <c r="G70" t="s">
        <v>361</v>
      </c>
      <c r="H70" t="s">
        <v>359</v>
      </c>
      <c r="I70" s="2">
        <v>0.7</v>
      </c>
      <c r="J70" s="2">
        <v>0.7</v>
      </c>
      <c r="K70" s="2">
        <v>0</v>
      </c>
      <c r="L70" s="2">
        <v>0.7</v>
      </c>
      <c r="M70" s="4">
        <f t="shared" si="9"/>
        <v>3</v>
      </c>
      <c r="N70" s="4">
        <f t="shared" si="10"/>
        <v>3</v>
      </c>
      <c r="O70" s="4">
        <f t="shared" si="11"/>
        <v>0</v>
      </c>
      <c r="P70" s="4">
        <f t="shared" si="8"/>
        <v>3</v>
      </c>
    </row>
    <row r="71" spans="1:16" x14ac:dyDescent="0.25">
      <c r="A71" t="s">
        <v>275</v>
      </c>
      <c r="B71" t="s">
        <v>35</v>
      </c>
      <c r="C71" t="s">
        <v>245</v>
      </c>
      <c r="D71" t="s">
        <v>24</v>
      </c>
      <c r="E71" t="s">
        <v>276</v>
      </c>
      <c r="F71" t="s">
        <v>248</v>
      </c>
      <c r="G71" t="s">
        <v>374</v>
      </c>
      <c r="H71" t="s">
        <v>362</v>
      </c>
      <c r="I71" s="2">
        <v>0.7</v>
      </c>
      <c r="J71" s="2">
        <v>0.7</v>
      </c>
      <c r="K71" s="2">
        <v>0</v>
      </c>
      <c r="L71" s="2">
        <v>0.7</v>
      </c>
      <c r="M71" s="4">
        <f t="shared" si="9"/>
        <v>3</v>
      </c>
      <c r="N71" s="4">
        <f t="shared" si="10"/>
        <v>3</v>
      </c>
      <c r="O71" s="4">
        <f t="shared" si="11"/>
        <v>0</v>
      </c>
      <c r="P71" s="4">
        <f t="shared" si="8"/>
        <v>3</v>
      </c>
    </row>
    <row r="72" spans="1:16" x14ac:dyDescent="0.25">
      <c r="A72" t="s">
        <v>179</v>
      </c>
      <c r="B72" t="s">
        <v>35</v>
      </c>
      <c r="C72" t="s">
        <v>180</v>
      </c>
      <c r="D72" t="s">
        <v>181</v>
      </c>
      <c r="E72" t="s">
        <v>182</v>
      </c>
      <c r="F72" t="s">
        <v>183</v>
      </c>
      <c r="G72" t="s">
        <v>364</v>
      </c>
      <c r="H72" t="s">
        <v>362</v>
      </c>
      <c r="I72" s="2">
        <v>0.7</v>
      </c>
      <c r="J72" s="2">
        <v>0.7</v>
      </c>
      <c r="K72" s="2">
        <v>0</v>
      </c>
      <c r="L72" s="2">
        <v>0.7</v>
      </c>
      <c r="M72" s="4">
        <f t="shared" si="9"/>
        <v>3</v>
      </c>
      <c r="N72" s="4">
        <f t="shared" si="10"/>
        <v>3</v>
      </c>
      <c r="O72" s="4">
        <f t="shared" si="11"/>
        <v>0</v>
      </c>
      <c r="P72" s="4">
        <f t="shared" si="8"/>
        <v>3</v>
      </c>
    </row>
    <row r="73" spans="1:16" x14ac:dyDescent="0.25">
      <c r="A73" t="s">
        <v>292</v>
      </c>
      <c r="B73" t="s">
        <v>35</v>
      </c>
      <c r="C73" t="s">
        <v>293</v>
      </c>
      <c r="D73" t="s">
        <v>294</v>
      </c>
      <c r="E73" t="s">
        <v>295</v>
      </c>
      <c r="F73" t="s">
        <v>296</v>
      </c>
      <c r="G73" t="s">
        <v>372</v>
      </c>
      <c r="H73" t="s">
        <v>373</v>
      </c>
      <c r="I73" s="2">
        <v>0.7</v>
      </c>
      <c r="J73" s="2">
        <v>0.7</v>
      </c>
      <c r="K73" s="2">
        <v>0</v>
      </c>
      <c r="L73" s="2">
        <v>0.7</v>
      </c>
      <c r="M73" s="4">
        <f t="shared" si="9"/>
        <v>3</v>
      </c>
      <c r="N73" s="4">
        <f t="shared" si="10"/>
        <v>3</v>
      </c>
      <c r="O73" s="4">
        <f t="shared" si="11"/>
        <v>0</v>
      </c>
      <c r="P73" s="4">
        <f t="shared" si="8"/>
        <v>3</v>
      </c>
    </row>
    <row r="74" spans="1:16" x14ac:dyDescent="0.25">
      <c r="A74" t="s">
        <v>297</v>
      </c>
      <c r="B74" t="s">
        <v>35</v>
      </c>
      <c r="C74" t="s">
        <v>293</v>
      </c>
      <c r="D74" t="s">
        <v>298</v>
      </c>
      <c r="E74" t="s">
        <v>295</v>
      </c>
      <c r="F74" t="s">
        <v>296</v>
      </c>
      <c r="G74" t="s">
        <v>372</v>
      </c>
      <c r="H74" t="s">
        <v>373</v>
      </c>
      <c r="I74" s="2">
        <v>0.7</v>
      </c>
      <c r="J74" s="2">
        <v>0.7</v>
      </c>
      <c r="K74" s="2">
        <v>0</v>
      </c>
      <c r="L74" s="2">
        <v>0.7</v>
      </c>
      <c r="M74" s="4">
        <f t="shared" si="9"/>
        <v>3</v>
      </c>
      <c r="N74" s="4">
        <f t="shared" si="10"/>
        <v>3</v>
      </c>
      <c r="O74" s="4">
        <f t="shared" si="11"/>
        <v>0</v>
      </c>
      <c r="P74" s="4">
        <f t="shared" si="8"/>
        <v>3</v>
      </c>
    </row>
    <row r="75" spans="1:16" x14ac:dyDescent="0.25">
      <c r="A75" t="s">
        <v>266</v>
      </c>
      <c r="B75" t="s">
        <v>35</v>
      </c>
      <c r="C75" t="s">
        <v>267</v>
      </c>
      <c r="D75" t="s">
        <v>268</v>
      </c>
      <c r="E75" t="s">
        <v>269</v>
      </c>
      <c r="F75" t="s">
        <v>270</v>
      </c>
      <c r="G75" t="s">
        <v>372</v>
      </c>
      <c r="H75" t="s">
        <v>373</v>
      </c>
      <c r="I75" s="2">
        <v>0.7</v>
      </c>
      <c r="J75" s="2">
        <v>0.7</v>
      </c>
      <c r="K75" s="2">
        <v>0.35</v>
      </c>
      <c r="L75" s="2">
        <v>0.7</v>
      </c>
      <c r="M75" s="4">
        <f t="shared" si="9"/>
        <v>3</v>
      </c>
      <c r="N75" s="4">
        <f t="shared" si="10"/>
        <v>3</v>
      </c>
      <c r="O75" s="4">
        <f t="shared" si="11"/>
        <v>2</v>
      </c>
      <c r="P75" s="4">
        <f t="shared" si="8"/>
        <v>3</v>
      </c>
    </row>
    <row r="76" spans="1:16" x14ac:dyDescent="0.25">
      <c r="A76" t="s">
        <v>299</v>
      </c>
      <c r="B76" t="s">
        <v>35</v>
      </c>
      <c r="C76" t="s">
        <v>180</v>
      </c>
      <c r="D76" t="s">
        <v>300</v>
      </c>
      <c r="E76" t="s">
        <v>301</v>
      </c>
      <c r="F76" t="s">
        <v>183</v>
      </c>
      <c r="G76" t="s">
        <v>372</v>
      </c>
      <c r="H76" t="s">
        <v>373</v>
      </c>
      <c r="I76" s="2">
        <v>0.7</v>
      </c>
      <c r="J76" s="2">
        <v>0.7</v>
      </c>
      <c r="K76" s="2">
        <v>0.1</v>
      </c>
      <c r="L76" s="2">
        <v>0.7</v>
      </c>
      <c r="M76" s="4">
        <f t="shared" si="9"/>
        <v>3</v>
      </c>
      <c r="N76" s="4">
        <f t="shared" si="10"/>
        <v>3</v>
      </c>
      <c r="O76" s="4">
        <f t="shared" si="11"/>
        <v>1</v>
      </c>
      <c r="P76" s="4">
        <f t="shared" si="8"/>
        <v>3</v>
      </c>
    </row>
    <row r="77" spans="1:16" x14ac:dyDescent="0.25">
      <c r="A77" t="s">
        <v>207</v>
      </c>
      <c r="B77" t="s">
        <v>35</v>
      </c>
      <c r="C77" t="s">
        <v>171</v>
      </c>
      <c r="D77" t="s">
        <v>22</v>
      </c>
      <c r="E77" t="s">
        <v>208</v>
      </c>
      <c r="F77" t="s">
        <v>173</v>
      </c>
      <c r="G77" t="s">
        <v>372</v>
      </c>
      <c r="H77" t="s">
        <v>373</v>
      </c>
      <c r="I77" s="2">
        <v>0.7</v>
      </c>
      <c r="J77" s="2">
        <v>0.7</v>
      </c>
      <c r="K77" s="2">
        <v>0</v>
      </c>
      <c r="L77" s="2">
        <v>0.7</v>
      </c>
      <c r="M77" s="4">
        <f t="shared" si="9"/>
        <v>3</v>
      </c>
      <c r="N77" s="4">
        <f t="shared" si="10"/>
        <v>3</v>
      </c>
      <c r="O77" s="4">
        <f t="shared" si="11"/>
        <v>0</v>
      </c>
      <c r="P77" s="4">
        <f t="shared" si="8"/>
        <v>3</v>
      </c>
    </row>
    <row r="78" spans="1:16" x14ac:dyDescent="0.25">
      <c r="A78" t="s">
        <v>346</v>
      </c>
      <c r="B78" t="s">
        <v>35</v>
      </c>
      <c r="C78" t="s">
        <v>42</v>
      </c>
      <c r="D78" t="s">
        <v>347</v>
      </c>
      <c r="E78" t="s">
        <v>348</v>
      </c>
      <c r="F78" t="s">
        <v>45</v>
      </c>
      <c r="G78" t="s">
        <v>368</v>
      </c>
      <c r="H78" t="s">
        <v>362</v>
      </c>
      <c r="I78" s="2">
        <v>0.7</v>
      </c>
      <c r="J78" s="2">
        <v>0.35</v>
      </c>
      <c r="K78" s="2">
        <v>0</v>
      </c>
      <c r="L78" s="2">
        <v>1</v>
      </c>
      <c r="M78" s="4">
        <f t="shared" si="9"/>
        <v>3</v>
      </c>
      <c r="N78" s="4">
        <f t="shared" si="10"/>
        <v>2</v>
      </c>
      <c r="O78" s="4">
        <f t="shared" si="11"/>
        <v>0</v>
      </c>
      <c r="P78" s="4">
        <f t="shared" si="8"/>
        <v>4</v>
      </c>
    </row>
    <row r="79" spans="1:16" x14ac:dyDescent="0.25">
      <c r="A79" t="s">
        <v>225</v>
      </c>
      <c r="B79" t="s">
        <v>35</v>
      </c>
      <c r="C79" t="s">
        <v>91</v>
      </c>
      <c r="D79" t="s">
        <v>226</v>
      </c>
      <c r="E79" t="s">
        <v>227</v>
      </c>
      <c r="F79" t="s">
        <v>94</v>
      </c>
      <c r="G79" t="s">
        <v>361</v>
      </c>
      <c r="H79" t="s">
        <v>357</v>
      </c>
      <c r="I79" s="2">
        <v>1</v>
      </c>
      <c r="J79" s="2">
        <v>0.7</v>
      </c>
      <c r="K79" s="2">
        <v>0</v>
      </c>
      <c r="L79" s="2">
        <v>0.35</v>
      </c>
      <c r="M79" s="4">
        <f t="shared" si="9"/>
        <v>4</v>
      </c>
      <c r="N79" s="4">
        <f t="shared" si="10"/>
        <v>3</v>
      </c>
      <c r="O79" s="4">
        <f t="shared" si="11"/>
        <v>0</v>
      </c>
      <c r="P79" s="4">
        <f t="shared" ref="P79:P91" si="12">IF(L79=1,4,IF(L79=0.7,3,IF(L79=0.35,2,IF(L79=0.1,1,0))))</f>
        <v>2</v>
      </c>
    </row>
    <row r="80" spans="1:16" x14ac:dyDescent="0.25">
      <c r="A80" t="s">
        <v>228</v>
      </c>
      <c r="B80" t="s">
        <v>35</v>
      </c>
      <c r="C80" t="s">
        <v>229</v>
      </c>
      <c r="D80" t="s">
        <v>230</v>
      </c>
      <c r="E80" t="s">
        <v>231</v>
      </c>
      <c r="F80" t="s">
        <v>232</v>
      </c>
      <c r="G80" t="s">
        <v>363</v>
      </c>
      <c r="H80" t="s">
        <v>359</v>
      </c>
      <c r="I80" s="2">
        <v>0.7</v>
      </c>
      <c r="J80" s="2">
        <v>1</v>
      </c>
      <c r="K80" s="2">
        <v>0</v>
      </c>
      <c r="L80" s="2">
        <v>0.35</v>
      </c>
      <c r="M80" s="4">
        <f t="shared" si="9"/>
        <v>3</v>
      </c>
      <c r="N80" s="4">
        <f t="shared" si="10"/>
        <v>4</v>
      </c>
      <c r="O80" s="4">
        <f t="shared" si="11"/>
        <v>0</v>
      </c>
      <c r="P80" s="4">
        <f t="shared" si="12"/>
        <v>2</v>
      </c>
    </row>
    <row r="81" spans="1:16" x14ac:dyDescent="0.25">
      <c r="A81" t="s">
        <v>336</v>
      </c>
      <c r="B81" t="s">
        <v>35</v>
      </c>
      <c r="C81" t="s">
        <v>229</v>
      </c>
      <c r="D81" t="s">
        <v>337</v>
      </c>
      <c r="E81" t="s">
        <v>338</v>
      </c>
      <c r="F81" t="s">
        <v>232</v>
      </c>
      <c r="G81" t="s">
        <v>361</v>
      </c>
      <c r="H81" t="s">
        <v>359</v>
      </c>
      <c r="I81" s="2">
        <v>1</v>
      </c>
      <c r="J81" s="2">
        <v>0.35</v>
      </c>
      <c r="K81" s="2">
        <v>0</v>
      </c>
      <c r="L81" s="2">
        <v>0.35</v>
      </c>
      <c r="M81" s="4">
        <f t="shared" si="9"/>
        <v>4</v>
      </c>
      <c r="N81" s="4">
        <f t="shared" si="10"/>
        <v>2</v>
      </c>
      <c r="O81" s="4">
        <f t="shared" si="11"/>
        <v>0</v>
      </c>
      <c r="P81" s="4">
        <f t="shared" si="12"/>
        <v>2</v>
      </c>
    </row>
    <row r="82" spans="1:16" x14ac:dyDescent="0.25">
      <c r="A82" t="s">
        <v>277</v>
      </c>
      <c r="B82" t="s">
        <v>35</v>
      </c>
      <c r="C82" t="s">
        <v>154</v>
      </c>
      <c r="D82" t="s">
        <v>278</v>
      </c>
      <c r="E82" t="s">
        <v>279</v>
      </c>
      <c r="F82" t="s">
        <v>157</v>
      </c>
      <c r="G82" t="s">
        <v>372</v>
      </c>
      <c r="H82" t="s">
        <v>359</v>
      </c>
      <c r="I82" s="2">
        <v>0.7</v>
      </c>
      <c r="J82" s="2">
        <v>0.35</v>
      </c>
      <c r="K82" s="2">
        <v>0</v>
      </c>
      <c r="L82" s="2">
        <v>0.35</v>
      </c>
      <c r="M82" s="4">
        <f t="shared" si="9"/>
        <v>3</v>
      </c>
      <c r="N82" s="4">
        <f t="shared" si="10"/>
        <v>2</v>
      </c>
      <c r="O82" s="4">
        <f t="shared" si="11"/>
        <v>0</v>
      </c>
      <c r="P82" s="4">
        <f t="shared" si="12"/>
        <v>2</v>
      </c>
    </row>
    <row r="83" spans="1:16" x14ac:dyDescent="0.25">
      <c r="A83" t="s">
        <v>325</v>
      </c>
      <c r="B83" t="s">
        <v>35</v>
      </c>
      <c r="C83" t="s">
        <v>103</v>
      </c>
      <c r="D83" t="s">
        <v>326</v>
      </c>
      <c r="E83" t="s">
        <v>327</v>
      </c>
      <c r="F83" t="s">
        <v>106</v>
      </c>
      <c r="G83" t="s">
        <v>361</v>
      </c>
      <c r="H83" t="s">
        <v>357</v>
      </c>
      <c r="I83" s="2">
        <v>0.7</v>
      </c>
      <c r="J83" s="2">
        <v>0.7</v>
      </c>
      <c r="K83" s="2">
        <v>0</v>
      </c>
      <c r="L83" s="2">
        <v>0.35</v>
      </c>
      <c r="M83" s="4">
        <f t="shared" si="9"/>
        <v>3</v>
      </c>
      <c r="N83" s="4">
        <f t="shared" si="10"/>
        <v>3</v>
      </c>
      <c r="O83" s="4">
        <f t="shared" si="11"/>
        <v>0</v>
      </c>
      <c r="P83" s="4">
        <f t="shared" si="12"/>
        <v>2</v>
      </c>
    </row>
    <row r="84" spans="1:16" x14ac:dyDescent="0.25">
      <c r="A84" t="s">
        <v>280</v>
      </c>
      <c r="B84" t="s">
        <v>35</v>
      </c>
      <c r="C84" t="s">
        <v>146</v>
      </c>
      <c r="D84" t="s">
        <v>281</v>
      </c>
      <c r="E84" t="s">
        <v>282</v>
      </c>
      <c r="F84" t="s">
        <v>149</v>
      </c>
      <c r="G84" t="s">
        <v>363</v>
      </c>
      <c r="H84" t="s">
        <v>358</v>
      </c>
      <c r="I84" s="2">
        <v>0.7</v>
      </c>
      <c r="J84" s="2">
        <v>0.35</v>
      </c>
      <c r="K84" s="2">
        <v>0</v>
      </c>
      <c r="L84" s="2">
        <v>0.35</v>
      </c>
      <c r="M84" s="4">
        <f t="shared" si="9"/>
        <v>3</v>
      </c>
      <c r="N84" s="4">
        <f t="shared" si="10"/>
        <v>2</v>
      </c>
      <c r="O84" s="4">
        <f t="shared" si="11"/>
        <v>0</v>
      </c>
      <c r="P84" s="4">
        <f t="shared" si="12"/>
        <v>2</v>
      </c>
    </row>
    <row r="85" spans="1:16" x14ac:dyDescent="0.25">
      <c r="A85" t="s">
        <v>339</v>
      </c>
      <c r="B85" t="s">
        <v>35</v>
      </c>
      <c r="C85" t="s">
        <v>263</v>
      </c>
      <c r="D85" t="s">
        <v>340</v>
      </c>
      <c r="E85" t="s">
        <v>341</v>
      </c>
      <c r="F85" t="s">
        <v>265</v>
      </c>
      <c r="G85" t="s">
        <v>366</v>
      </c>
      <c r="H85" t="s">
        <v>359</v>
      </c>
      <c r="I85" s="2">
        <v>0.7</v>
      </c>
      <c r="J85" s="2">
        <v>0.35</v>
      </c>
      <c r="K85" s="2">
        <v>0</v>
      </c>
      <c r="L85" s="2">
        <v>0.35</v>
      </c>
      <c r="M85" s="4">
        <f t="shared" si="9"/>
        <v>3</v>
      </c>
      <c r="N85" s="4">
        <f t="shared" si="10"/>
        <v>2</v>
      </c>
      <c r="O85" s="4">
        <f t="shared" si="11"/>
        <v>0</v>
      </c>
      <c r="P85" s="4">
        <f t="shared" si="12"/>
        <v>2</v>
      </c>
    </row>
    <row r="86" spans="1:16" x14ac:dyDescent="0.25">
      <c r="A86" t="s">
        <v>328</v>
      </c>
      <c r="B86" t="s">
        <v>35</v>
      </c>
      <c r="C86" t="s">
        <v>329</v>
      </c>
      <c r="D86" t="s">
        <v>330</v>
      </c>
      <c r="E86" t="s">
        <v>331</v>
      </c>
      <c r="F86" t="s">
        <v>332</v>
      </c>
      <c r="G86" t="s">
        <v>361</v>
      </c>
      <c r="H86" t="s">
        <v>359</v>
      </c>
      <c r="I86" s="2">
        <v>0.35</v>
      </c>
      <c r="J86" s="2">
        <v>0.7</v>
      </c>
      <c r="K86" s="2">
        <v>0</v>
      </c>
      <c r="L86" s="2">
        <v>0.35</v>
      </c>
      <c r="M86" s="4">
        <f t="shared" si="9"/>
        <v>2</v>
      </c>
      <c r="N86" s="4">
        <f t="shared" si="10"/>
        <v>3</v>
      </c>
      <c r="O86" s="4">
        <f t="shared" si="11"/>
        <v>0</v>
      </c>
      <c r="P86" s="4">
        <f t="shared" si="12"/>
        <v>2</v>
      </c>
    </row>
    <row r="87" spans="1:16" x14ac:dyDescent="0.25">
      <c r="A87" t="s">
        <v>333</v>
      </c>
      <c r="B87" t="s">
        <v>35</v>
      </c>
      <c r="C87" t="s">
        <v>64</v>
      </c>
      <c r="D87" t="s">
        <v>334</v>
      </c>
      <c r="E87" t="s">
        <v>335</v>
      </c>
      <c r="F87" t="s">
        <v>67</v>
      </c>
      <c r="G87" t="s">
        <v>372</v>
      </c>
      <c r="H87" t="s">
        <v>373</v>
      </c>
      <c r="I87" s="2">
        <v>0.35</v>
      </c>
      <c r="J87" s="2">
        <v>0.7</v>
      </c>
      <c r="K87" s="2">
        <v>0</v>
      </c>
      <c r="L87" s="2">
        <v>0.35</v>
      </c>
      <c r="M87" s="4">
        <f t="shared" si="9"/>
        <v>2</v>
      </c>
      <c r="N87" s="4">
        <f t="shared" si="10"/>
        <v>3</v>
      </c>
      <c r="O87" s="4">
        <f t="shared" si="11"/>
        <v>0</v>
      </c>
      <c r="P87" s="4">
        <f t="shared" si="12"/>
        <v>2</v>
      </c>
    </row>
    <row r="88" spans="1:16" x14ac:dyDescent="0.25">
      <c r="A88" t="s">
        <v>342</v>
      </c>
      <c r="B88" t="s">
        <v>35</v>
      </c>
      <c r="C88" t="s">
        <v>343</v>
      </c>
      <c r="D88" t="s">
        <v>140</v>
      </c>
      <c r="E88" t="s">
        <v>344</v>
      </c>
      <c r="F88" t="s">
        <v>345</v>
      </c>
      <c r="G88" t="s">
        <v>372</v>
      </c>
      <c r="H88" t="s">
        <v>359</v>
      </c>
      <c r="I88" s="2">
        <v>0.35</v>
      </c>
      <c r="J88" s="2">
        <v>0.7</v>
      </c>
      <c r="K88" s="2">
        <v>0</v>
      </c>
      <c r="L88" s="2">
        <v>0.35</v>
      </c>
      <c r="M88" s="4">
        <f t="shared" si="9"/>
        <v>2</v>
      </c>
      <c r="N88" s="4">
        <f t="shared" si="10"/>
        <v>3</v>
      </c>
      <c r="O88" s="4">
        <f t="shared" si="11"/>
        <v>0</v>
      </c>
      <c r="P88" s="4">
        <f t="shared" si="12"/>
        <v>2</v>
      </c>
    </row>
    <row r="89" spans="1:16" x14ac:dyDescent="0.25">
      <c r="A89" t="s">
        <v>271</v>
      </c>
      <c r="B89" t="s">
        <v>35</v>
      </c>
      <c r="C89" t="s">
        <v>272</v>
      </c>
      <c r="D89" t="s">
        <v>31</v>
      </c>
      <c r="E89" t="s">
        <v>273</v>
      </c>
      <c r="F89" t="s">
        <v>274</v>
      </c>
      <c r="G89" t="s">
        <v>361</v>
      </c>
      <c r="H89" t="s">
        <v>359</v>
      </c>
      <c r="I89" s="2">
        <v>0.35</v>
      </c>
      <c r="J89" s="2">
        <v>0.35</v>
      </c>
      <c r="K89" s="2">
        <v>0</v>
      </c>
      <c r="L89" s="2">
        <v>0.35</v>
      </c>
      <c r="M89" s="4">
        <f t="shared" si="9"/>
        <v>2</v>
      </c>
      <c r="N89" s="4">
        <f t="shared" si="10"/>
        <v>2</v>
      </c>
      <c r="O89" s="4">
        <f t="shared" si="11"/>
        <v>0</v>
      </c>
      <c r="P89" s="4">
        <f t="shared" si="12"/>
        <v>2</v>
      </c>
    </row>
    <row r="90" spans="1:16" x14ac:dyDescent="0.25">
      <c r="A90" t="s">
        <v>349</v>
      </c>
      <c r="B90" t="s">
        <v>35</v>
      </c>
      <c r="C90" t="s">
        <v>350</v>
      </c>
      <c r="D90" t="s">
        <v>351</v>
      </c>
      <c r="E90" t="s">
        <v>208</v>
      </c>
      <c r="F90" t="s">
        <v>352</v>
      </c>
      <c r="G90" t="s">
        <v>372</v>
      </c>
      <c r="H90" t="s">
        <v>373</v>
      </c>
      <c r="I90" s="2">
        <v>0.35</v>
      </c>
      <c r="J90" s="2">
        <v>0.1</v>
      </c>
      <c r="K90" s="2">
        <v>0</v>
      </c>
      <c r="L90" s="2">
        <v>0.35</v>
      </c>
      <c r="M90" s="4">
        <f t="shared" si="9"/>
        <v>2</v>
      </c>
      <c r="N90" s="4">
        <f t="shared" si="10"/>
        <v>1</v>
      </c>
      <c r="O90" s="4">
        <f t="shared" si="11"/>
        <v>0</v>
      </c>
      <c r="P90" s="4">
        <f t="shared" si="12"/>
        <v>2</v>
      </c>
    </row>
    <row r="91" spans="1:16" x14ac:dyDescent="0.25">
      <c r="A91" t="s">
        <v>257</v>
      </c>
      <c r="B91" t="s">
        <v>35</v>
      </c>
      <c r="C91" t="s">
        <v>258</v>
      </c>
      <c r="D91" t="s">
        <v>259</v>
      </c>
      <c r="E91" t="s">
        <v>260</v>
      </c>
      <c r="F91" t="s">
        <v>261</v>
      </c>
      <c r="G91" t="s">
        <v>361</v>
      </c>
      <c r="H91" t="s">
        <v>359</v>
      </c>
      <c r="I91" t="s">
        <v>4</v>
      </c>
      <c r="J91" s="2">
        <v>0.7</v>
      </c>
      <c r="K91" s="2">
        <v>0</v>
      </c>
      <c r="L91" s="2">
        <v>0.35</v>
      </c>
      <c r="M91" s="4">
        <f t="shared" si="9"/>
        <v>0</v>
      </c>
      <c r="N91" s="4">
        <f t="shared" si="10"/>
        <v>3</v>
      </c>
      <c r="O91" s="4">
        <f t="shared" si="11"/>
        <v>0</v>
      </c>
      <c r="P91" s="4">
        <f t="shared" si="12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"/>
  <sheetViews>
    <sheetView workbookViewId="0">
      <pane ySplit="1" topLeftCell="A2" activePane="bottomLeft" state="frozen"/>
      <selection pane="bottomLeft" activeCell="A2" sqref="A2"/>
    </sheetView>
  </sheetViews>
  <sheetFormatPr defaultColWidth="26.28515625" defaultRowHeight="15" x14ac:dyDescent="0.25"/>
  <cols>
    <col min="1" max="1" width="12.5703125" bestFit="1" customWidth="1"/>
    <col min="2" max="2" width="10.5703125" bestFit="1" customWidth="1"/>
    <col min="3" max="3" width="7.5703125" bestFit="1" customWidth="1"/>
    <col min="4" max="4" width="9.5703125" bestFit="1" customWidth="1"/>
    <col min="5" max="5" width="68.28515625" bestFit="1" customWidth="1"/>
    <col min="6" max="6" width="48" bestFit="1" customWidth="1"/>
    <col min="7" max="7" width="26.7109375" bestFit="1" customWidth="1"/>
    <col min="8" max="8" width="35" bestFit="1" customWidth="1"/>
    <col min="9" max="12" width="17.7109375" customWidth="1"/>
    <col min="13" max="16" width="10.7109375" customWidth="1"/>
  </cols>
  <sheetData>
    <row r="1" spans="1:16" x14ac:dyDescent="0.25">
      <c r="A1" s="6" t="s">
        <v>353</v>
      </c>
      <c r="B1" s="6" t="s">
        <v>354</v>
      </c>
      <c r="C1" s="6" t="s">
        <v>32</v>
      </c>
      <c r="D1" s="6" t="s">
        <v>9</v>
      </c>
      <c r="E1" s="6" t="s">
        <v>33</v>
      </c>
      <c r="F1" s="6" t="s">
        <v>34</v>
      </c>
      <c r="G1" s="6" t="s">
        <v>355</v>
      </c>
      <c r="H1" s="6" t="s">
        <v>356</v>
      </c>
      <c r="I1" s="1" t="s">
        <v>0</v>
      </c>
      <c r="J1" s="1" t="s">
        <v>1</v>
      </c>
      <c r="K1" s="1" t="s">
        <v>2</v>
      </c>
      <c r="L1" s="1" t="s">
        <v>3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 x14ac:dyDescent="0.25">
      <c r="A2" t="s">
        <v>199</v>
      </c>
      <c r="B2" t="s">
        <v>35</v>
      </c>
      <c r="C2" t="s">
        <v>139</v>
      </c>
      <c r="D2" t="s">
        <v>200</v>
      </c>
      <c r="E2" t="s">
        <v>201</v>
      </c>
      <c r="F2" t="s">
        <v>142</v>
      </c>
      <c r="G2" t="s">
        <v>369</v>
      </c>
      <c r="H2" t="s">
        <v>359</v>
      </c>
      <c r="I2" s="2">
        <v>1</v>
      </c>
      <c r="J2" s="2">
        <v>1</v>
      </c>
      <c r="K2" s="2">
        <v>0.7</v>
      </c>
      <c r="L2" s="2">
        <v>1</v>
      </c>
      <c r="M2" s="4">
        <f t="shared" ref="M2:M33" si="0">IF(I2=1,4,IF(I2=0.7,3,IF(I2=0.35,2,IF(I2=0.1,1,0))))</f>
        <v>4</v>
      </c>
      <c r="N2" s="4">
        <f t="shared" ref="N2:N33" si="1">IF(J2=1,4,IF(J2=0.7,3,IF(J2=0.35,2,IF(J2=0.1,1,0))))</f>
        <v>4</v>
      </c>
      <c r="O2" s="4">
        <f t="shared" ref="O2:O33" si="2">IF(K2=1,4,IF(K2=0.7,3,IF(K2=0.35,2,IF(K2=0.1,1,0))))</f>
        <v>3</v>
      </c>
      <c r="P2" s="4">
        <f t="shared" ref="P2:P30" si="3">IF(L2=1,4,IF(L2=0.7,3,IF(L2=0.35,2,IF(L2=0.1,1,0))))</f>
        <v>4</v>
      </c>
    </row>
    <row r="3" spans="1:16" x14ac:dyDescent="0.25">
      <c r="A3" t="s">
        <v>125</v>
      </c>
      <c r="B3" t="s">
        <v>35</v>
      </c>
      <c r="C3" t="s">
        <v>126</v>
      </c>
      <c r="D3" t="s">
        <v>70</v>
      </c>
      <c r="E3" t="s">
        <v>127</v>
      </c>
      <c r="F3" t="s">
        <v>128</v>
      </c>
      <c r="G3" t="s">
        <v>370</v>
      </c>
      <c r="H3" t="s">
        <v>371</v>
      </c>
      <c r="I3" s="2">
        <v>1</v>
      </c>
      <c r="J3" s="2">
        <v>1</v>
      </c>
      <c r="K3" s="2">
        <v>0</v>
      </c>
      <c r="L3" s="2">
        <v>1</v>
      </c>
      <c r="M3" s="4">
        <f t="shared" si="0"/>
        <v>4</v>
      </c>
      <c r="N3" s="4">
        <f t="shared" si="1"/>
        <v>4</v>
      </c>
      <c r="O3" s="4">
        <f t="shared" si="2"/>
        <v>0</v>
      </c>
      <c r="P3" s="4">
        <f t="shared" si="3"/>
        <v>4</v>
      </c>
    </row>
    <row r="4" spans="1:16" x14ac:dyDescent="0.25">
      <c r="A4" t="s">
        <v>36</v>
      </c>
      <c r="B4" t="s">
        <v>35</v>
      </c>
      <c r="C4" t="s">
        <v>37</v>
      </c>
      <c r="D4" t="s">
        <v>38</v>
      </c>
      <c r="E4" t="s">
        <v>39</v>
      </c>
      <c r="F4" t="s">
        <v>40</v>
      </c>
      <c r="G4" t="s">
        <v>360</v>
      </c>
      <c r="H4" t="s">
        <v>357</v>
      </c>
      <c r="I4" s="2">
        <v>1</v>
      </c>
      <c r="J4" s="2">
        <v>1</v>
      </c>
      <c r="K4" s="2">
        <v>0</v>
      </c>
      <c r="L4" s="2">
        <v>1</v>
      </c>
      <c r="M4" s="4">
        <f t="shared" si="0"/>
        <v>4</v>
      </c>
      <c r="N4" s="4">
        <f t="shared" si="1"/>
        <v>4</v>
      </c>
      <c r="O4" s="4">
        <f t="shared" si="2"/>
        <v>0</v>
      </c>
      <c r="P4" s="4">
        <f t="shared" si="3"/>
        <v>4</v>
      </c>
    </row>
    <row r="5" spans="1:16" x14ac:dyDescent="0.25">
      <c r="A5" t="s">
        <v>41</v>
      </c>
      <c r="B5" t="s">
        <v>35</v>
      </c>
      <c r="C5" t="s">
        <v>42</v>
      </c>
      <c r="D5" t="s">
        <v>43</v>
      </c>
      <c r="E5" t="s">
        <v>44</v>
      </c>
      <c r="F5" t="s">
        <v>45</v>
      </c>
      <c r="G5" t="s">
        <v>360</v>
      </c>
      <c r="H5" t="s">
        <v>359</v>
      </c>
      <c r="I5" s="2">
        <v>1</v>
      </c>
      <c r="J5" s="2">
        <v>1</v>
      </c>
      <c r="K5" s="2">
        <v>0</v>
      </c>
      <c r="L5" s="2">
        <v>1</v>
      </c>
      <c r="M5" s="4">
        <f t="shared" si="0"/>
        <v>4</v>
      </c>
      <c r="N5" s="4">
        <f t="shared" si="1"/>
        <v>4</v>
      </c>
      <c r="O5" s="4">
        <f t="shared" si="2"/>
        <v>0</v>
      </c>
      <c r="P5" s="4">
        <f t="shared" si="3"/>
        <v>4</v>
      </c>
    </row>
    <row r="6" spans="1:16" x14ac:dyDescent="0.25">
      <c r="A6" t="s">
        <v>51</v>
      </c>
      <c r="B6" t="s">
        <v>35</v>
      </c>
      <c r="C6" t="s">
        <v>37</v>
      </c>
      <c r="D6" t="s">
        <v>52</v>
      </c>
      <c r="E6" t="s">
        <v>53</v>
      </c>
      <c r="F6" t="s">
        <v>40</v>
      </c>
      <c r="G6" t="s">
        <v>360</v>
      </c>
      <c r="H6" t="s">
        <v>357</v>
      </c>
      <c r="I6" s="2">
        <v>1</v>
      </c>
      <c r="J6" s="2">
        <v>1</v>
      </c>
      <c r="K6" s="2">
        <v>0</v>
      </c>
      <c r="L6" s="2">
        <v>1</v>
      </c>
      <c r="M6" s="4">
        <f t="shared" si="0"/>
        <v>4</v>
      </c>
      <c r="N6" s="4">
        <f t="shared" si="1"/>
        <v>4</v>
      </c>
      <c r="O6" s="4">
        <f t="shared" si="2"/>
        <v>0</v>
      </c>
      <c r="P6" s="4">
        <f t="shared" si="3"/>
        <v>4</v>
      </c>
    </row>
    <row r="7" spans="1:16" x14ac:dyDescent="0.25">
      <c r="A7" t="s">
        <v>129</v>
      </c>
      <c r="B7" t="s">
        <v>35</v>
      </c>
      <c r="C7" t="s">
        <v>130</v>
      </c>
      <c r="D7" t="s">
        <v>131</v>
      </c>
      <c r="E7" t="s">
        <v>132</v>
      </c>
      <c r="F7" t="s">
        <v>133</v>
      </c>
      <c r="G7" t="s">
        <v>364</v>
      </c>
      <c r="H7" t="s">
        <v>359</v>
      </c>
      <c r="I7" s="2">
        <v>1</v>
      </c>
      <c r="J7" s="2">
        <v>1</v>
      </c>
      <c r="K7" s="2">
        <v>0.1</v>
      </c>
      <c r="L7" s="2">
        <v>1</v>
      </c>
      <c r="M7" s="4">
        <f t="shared" si="0"/>
        <v>4</v>
      </c>
      <c r="N7" s="4">
        <f t="shared" si="1"/>
        <v>4</v>
      </c>
      <c r="O7" s="4">
        <f t="shared" si="2"/>
        <v>1</v>
      </c>
      <c r="P7" s="4">
        <f t="shared" si="3"/>
        <v>4</v>
      </c>
    </row>
    <row r="8" spans="1:16" x14ac:dyDescent="0.25">
      <c r="A8" t="s">
        <v>63</v>
      </c>
      <c r="B8" t="s">
        <v>35</v>
      </c>
      <c r="C8" t="s">
        <v>64</v>
      </c>
      <c r="D8" t="s">
        <v>65</v>
      </c>
      <c r="E8" t="s">
        <v>66</v>
      </c>
      <c r="F8" t="s">
        <v>67</v>
      </c>
      <c r="G8" t="s">
        <v>363</v>
      </c>
      <c r="H8" t="s">
        <v>362</v>
      </c>
      <c r="I8" s="2">
        <v>1</v>
      </c>
      <c r="J8" s="2">
        <v>1</v>
      </c>
      <c r="K8" s="2">
        <v>0</v>
      </c>
      <c r="L8" s="2">
        <v>1</v>
      </c>
      <c r="M8" s="4">
        <f t="shared" si="0"/>
        <v>4</v>
      </c>
      <c r="N8" s="4">
        <f t="shared" si="1"/>
        <v>4</v>
      </c>
      <c r="O8" s="4">
        <f t="shared" si="2"/>
        <v>0</v>
      </c>
      <c r="P8" s="4">
        <f t="shared" si="3"/>
        <v>4</v>
      </c>
    </row>
    <row r="9" spans="1:16" x14ac:dyDescent="0.25">
      <c r="A9" t="s">
        <v>68</v>
      </c>
      <c r="B9" t="s">
        <v>35</v>
      </c>
      <c r="C9" t="s">
        <v>69</v>
      </c>
      <c r="D9" t="s">
        <v>70</v>
      </c>
      <c r="E9" t="s">
        <v>71</v>
      </c>
      <c r="F9" t="s">
        <v>72</v>
      </c>
      <c r="G9" t="s">
        <v>364</v>
      </c>
      <c r="H9" t="s">
        <v>365</v>
      </c>
      <c r="I9" s="2">
        <v>1</v>
      </c>
      <c r="J9" s="2">
        <v>1</v>
      </c>
      <c r="K9" s="2">
        <v>0</v>
      </c>
      <c r="L9" s="2">
        <v>1</v>
      </c>
      <c r="M9" s="4">
        <f t="shared" si="0"/>
        <v>4</v>
      </c>
      <c r="N9" s="4">
        <f t="shared" si="1"/>
        <v>4</v>
      </c>
      <c r="O9" s="4">
        <f t="shared" si="2"/>
        <v>0</v>
      </c>
      <c r="P9" s="4">
        <f t="shared" si="3"/>
        <v>4</v>
      </c>
    </row>
    <row r="10" spans="1:16" x14ac:dyDescent="0.25">
      <c r="A10" t="s">
        <v>54</v>
      </c>
      <c r="B10" t="s">
        <v>35</v>
      </c>
      <c r="C10" t="s">
        <v>42</v>
      </c>
      <c r="D10" t="s">
        <v>55</v>
      </c>
      <c r="E10" t="s">
        <v>56</v>
      </c>
      <c r="F10" t="s">
        <v>45</v>
      </c>
      <c r="G10" t="s">
        <v>360</v>
      </c>
      <c r="H10" t="s">
        <v>362</v>
      </c>
      <c r="I10" s="2">
        <v>1</v>
      </c>
      <c r="J10" s="2">
        <v>1</v>
      </c>
      <c r="K10" s="2">
        <v>0</v>
      </c>
      <c r="L10" s="2">
        <v>1</v>
      </c>
      <c r="M10" s="4">
        <f t="shared" si="0"/>
        <v>4</v>
      </c>
      <c r="N10" s="4">
        <f t="shared" si="1"/>
        <v>4</v>
      </c>
      <c r="O10" s="4">
        <f t="shared" si="2"/>
        <v>0</v>
      </c>
      <c r="P10" s="4">
        <f t="shared" si="3"/>
        <v>4</v>
      </c>
    </row>
    <row r="11" spans="1:16" x14ac:dyDescent="0.25">
      <c r="A11" t="s">
        <v>57</v>
      </c>
      <c r="B11" t="s">
        <v>35</v>
      </c>
      <c r="C11" t="s">
        <v>42</v>
      </c>
      <c r="D11" t="s">
        <v>58</v>
      </c>
      <c r="E11" t="s">
        <v>59</v>
      </c>
      <c r="F11" t="s">
        <v>45</v>
      </c>
      <c r="G11" t="s">
        <v>360</v>
      </c>
      <c r="H11" t="s">
        <v>359</v>
      </c>
      <c r="I11" s="2">
        <v>1</v>
      </c>
      <c r="J11" s="2">
        <v>1</v>
      </c>
      <c r="K11" s="2">
        <v>0</v>
      </c>
      <c r="L11" s="2">
        <v>1</v>
      </c>
      <c r="M11" s="4">
        <f t="shared" si="0"/>
        <v>4</v>
      </c>
      <c r="N11" s="4">
        <f t="shared" si="1"/>
        <v>4</v>
      </c>
      <c r="O11" s="4">
        <f t="shared" si="2"/>
        <v>0</v>
      </c>
      <c r="P11" s="4">
        <f t="shared" si="3"/>
        <v>4</v>
      </c>
    </row>
    <row r="12" spans="1:16" x14ac:dyDescent="0.25">
      <c r="A12" t="s">
        <v>60</v>
      </c>
      <c r="B12" t="s">
        <v>35</v>
      </c>
      <c r="C12" t="s">
        <v>42</v>
      </c>
      <c r="D12" t="s">
        <v>61</v>
      </c>
      <c r="E12" t="s">
        <v>62</v>
      </c>
      <c r="F12" t="s">
        <v>45</v>
      </c>
      <c r="G12" t="s">
        <v>360</v>
      </c>
      <c r="H12" t="s">
        <v>359</v>
      </c>
      <c r="I12" s="2">
        <v>1</v>
      </c>
      <c r="J12" s="2">
        <v>1</v>
      </c>
      <c r="K12" s="2">
        <v>0</v>
      </c>
      <c r="L12" s="2">
        <v>1</v>
      </c>
      <c r="M12" s="4">
        <f t="shared" si="0"/>
        <v>4</v>
      </c>
      <c r="N12" s="4">
        <f t="shared" si="1"/>
        <v>4</v>
      </c>
      <c r="O12" s="4">
        <f t="shared" si="2"/>
        <v>0</v>
      </c>
      <c r="P12" s="4">
        <f t="shared" si="3"/>
        <v>4</v>
      </c>
    </row>
    <row r="13" spans="1:16" x14ac:dyDescent="0.25">
      <c r="A13" t="s">
        <v>73</v>
      </c>
      <c r="B13" t="s">
        <v>35</v>
      </c>
      <c r="C13" t="s">
        <v>74</v>
      </c>
      <c r="D13" t="s">
        <v>75</v>
      </c>
      <c r="E13" t="s">
        <v>76</v>
      </c>
      <c r="F13" t="s">
        <v>77</v>
      </c>
      <c r="G13" t="s">
        <v>360</v>
      </c>
      <c r="H13" t="s">
        <v>357</v>
      </c>
      <c r="I13" s="2">
        <v>1</v>
      </c>
      <c r="J13" s="2">
        <v>1</v>
      </c>
      <c r="K13" s="2">
        <v>0</v>
      </c>
      <c r="L13" s="2">
        <v>1</v>
      </c>
      <c r="M13" s="4">
        <f t="shared" si="0"/>
        <v>4</v>
      </c>
      <c r="N13" s="4">
        <f t="shared" si="1"/>
        <v>4</v>
      </c>
      <c r="O13" s="4">
        <f t="shared" si="2"/>
        <v>0</v>
      </c>
      <c r="P13" s="4">
        <f t="shared" si="3"/>
        <v>4</v>
      </c>
    </row>
    <row r="14" spans="1:16" x14ac:dyDescent="0.25">
      <c r="A14" t="s">
        <v>78</v>
      </c>
      <c r="B14" t="s">
        <v>35</v>
      </c>
      <c r="C14" t="s">
        <v>37</v>
      </c>
      <c r="D14" t="s">
        <v>79</v>
      </c>
      <c r="E14" t="s">
        <v>80</v>
      </c>
      <c r="F14" t="s">
        <v>81</v>
      </c>
      <c r="G14" t="s">
        <v>366</v>
      </c>
      <c r="H14" t="s">
        <v>358</v>
      </c>
      <c r="I14" s="2">
        <v>1</v>
      </c>
      <c r="J14" s="2">
        <v>1</v>
      </c>
      <c r="K14" s="2">
        <v>0</v>
      </c>
      <c r="L14" s="2">
        <v>1</v>
      </c>
      <c r="M14" s="4">
        <f t="shared" si="0"/>
        <v>4</v>
      </c>
      <c r="N14" s="4">
        <f t="shared" si="1"/>
        <v>4</v>
      </c>
      <c r="O14" s="4">
        <f t="shared" si="2"/>
        <v>0</v>
      </c>
      <c r="P14" s="4">
        <f t="shared" si="3"/>
        <v>4</v>
      </c>
    </row>
    <row r="15" spans="1:16" x14ac:dyDescent="0.25">
      <c r="A15" t="s">
        <v>82</v>
      </c>
      <c r="B15" t="s">
        <v>35</v>
      </c>
      <c r="C15" t="s">
        <v>37</v>
      </c>
      <c r="D15" t="s">
        <v>55</v>
      </c>
      <c r="E15" t="s">
        <v>83</v>
      </c>
      <c r="F15" t="s">
        <v>40</v>
      </c>
      <c r="G15" t="s">
        <v>366</v>
      </c>
      <c r="H15" t="s">
        <v>357</v>
      </c>
      <c r="I15" s="2">
        <v>1</v>
      </c>
      <c r="J15" s="2">
        <v>1</v>
      </c>
      <c r="K15" s="2">
        <v>0</v>
      </c>
      <c r="L15" s="2">
        <v>1</v>
      </c>
      <c r="M15" s="4">
        <f t="shared" si="0"/>
        <v>4</v>
      </c>
      <c r="N15" s="4">
        <f t="shared" si="1"/>
        <v>4</v>
      </c>
      <c r="O15" s="4">
        <f t="shared" si="2"/>
        <v>0</v>
      </c>
      <c r="P15" s="4">
        <f t="shared" si="3"/>
        <v>4</v>
      </c>
    </row>
    <row r="16" spans="1:16" x14ac:dyDescent="0.25">
      <c r="A16" t="s">
        <v>84</v>
      </c>
      <c r="B16" t="s">
        <v>35</v>
      </c>
      <c r="C16" t="s">
        <v>85</v>
      </c>
      <c r="D16" t="s">
        <v>14</v>
      </c>
      <c r="E16" t="s">
        <v>86</v>
      </c>
      <c r="F16" t="s">
        <v>87</v>
      </c>
      <c r="G16" t="s">
        <v>363</v>
      </c>
      <c r="H16" t="s">
        <v>367</v>
      </c>
      <c r="I16" s="2">
        <v>1</v>
      </c>
      <c r="J16" s="2">
        <v>1</v>
      </c>
      <c r="K16" s="2">
        <v>0</v>
      </c>
      <c r="L16" s="2">
        <v>1</v>
      </c>
      <c r="M16" s="4">
        <f t="shared" si="0"/>
        <v>4</v>
      </c>
      <c r="N16" s="4">
        <f t="shared" si="1"/>
        <v>4</v>
      </c>
      <c r="O16" s="4">
        <f t="shared" si="2"/>
        <v>0</v>
      </c>
      <c r="P16" s="4">
        <f t="shared" si="3"/>
        <v>4</v>
      </c>
    </row>
    <row r="17" spans="1:16" x14ac:dyDescent="0.25">
      <c r="A17" t="s">
        <v>88</v>
      </c>
      <c r="B17" t="s">
        <v>35</v>
      </c>
      <c r="C17" t="s">
        <v>64</v>
      </c>
      <c r="D17" t="s">
        <v>27</v>
      </c>
      <c r="E17" t="s">
        <v>89</v>
      </c>
      <c r="F17" t="s">
        <v>67</v>
      </c>
      <c r="G17" t="s">
        <v>360</v>
      </c>
      <c r="H17" t="s">
        <v>362</v>
      </c>
      <c r="I17" s="2">
        <v>1</v>
      </c>
      <c r="J17" s="2">
        <v>1</v>
      </c>
      <c r="K17" s="2">
        <v>0</v>
      </c>
      <c r="L17" s="2">
        <v>1</v>
      </c>
      <c r="M17" s="4">
        <f t="shared" si="0"/>
        <v>4</v>
      </c>
      <c r="N17" s="4">
        <f t="shared" si="1"/>
        <v>4</v>
      </c>
      <c r="O17" s="4">
        <f t="shared" si="2"/>
        <v>0</v>
      </c>
      <c r="P17" s="4">
        <f t="shared" si="3"/>
        <v>4</v>
      </c>
    </row>
    <row r="18" spans="1:16" x14ac:dyDescent="0.25">
      <c r="A18" t="s">
        <v>116</v>
      </c>
      <c r="B18" t="s">
        <v>35</v>
      </c>
      <c r="C18" t="s">
        <v>117</v>
      </c>
      <c r="D18" t="s">
        <v>118</v>
      </c>
      <c r="E18" t="s">
        <v>119</v>
      </c>
      <c r="F18" t="s">
        <v>120</v>
      </c>
      <c r="G18" t="s">
        <v>364</v>
      </c>
      <c r="H18" t="s">
        <v>362</v>
      </c>
      <c r="I18" s="2">
        <v>1</v>
      </c>
      <c r="J18" s="2">
        <v>1</v>
      </c>
      <c r="K18" s="2">
        <v>0</v>
      </c>
      <c r="L18" s="2">
        <v>1</v>
      </c>
      <c r="M18" s="4">
        <f t="shared" si="0"/>
        <v>4</v>
      </c>
      <c r="N18" s="4">
        <f t="shared" si="1"/>
        <v>4</v>
      </c>
      <c r="O18" s="4">
        <f t="shared" si="2"/>
        <v>0</v>
      </c>
      <c r="P18" s="4">
        <f t="shared" si="3"/>
        <v>4</v>
      </c>
    </row>
    <row r="19" spans="1:16" x14ac:dyDescent="0.25">
      <c r="A19" t="s">
        <v>90</v>
      </c>
      <c r="B19" t="s">
        <v>35</v>
      </c>
      <c r="C19" t="s">
        <v>91</v>
      </c>
      <c r="D19" t="s">
        <v>92</v>
      </c>
      <c r="E19" t="s">
        <v>93</v>
      </c>
      <c r="F19" t="s">
        <v>94</v>
      </c>
      <c r="G19" t="s">
        <v>364</v>
      </c>
      <c r="H19" t="s">
        <v>367</v>
      </c>
      <c r="I19" s="2">
        <v>1</v>
      </c>
      <c r="J19" s="2">
        <v>1</v>
      </c>
      <c r="K19" s="2">
        <v>0</v>
      </c>
      <c r="L19" s="2">
        <v>1</v>
      </c>
      <c r="M19" s="4">
        <f t="shared" si="0"/>
        <v>4</v>
      </c>
      <c r="N19" s="4">
        <f t="shared" si="1"/>
        <v>4</v>
      </c>
      <c r="O19" s="4">
        <f t="shared" si="2"/>
        <v>0</v>
      </c>
      <c r="P19" s="4">
        <f t="shared" si="3"/>
        <v>4</v>
      </c>
    </row>
    <row r="20" spans="1:16" x14ac:dyDescent="0.25">
      <c r="A20" t="s">
        <v>95</v>
      </c>
      <c r="B20" t="s">
        <v>35</v>
      </c>
      <c r="C20" t="s">
        <v>37</v>
      </c>
      <c r="D20" t="s">
        <v>96</v>
      </c>
      <c r="E20" t="s">
        <v>97</v>
      </c>
      <c r="F20" t="s">
        <v>40</v>
      </c>
      <c r="G20" t="s">
        <v>368</v>
      </c>
      <c r="H20" t="s">
        <v>357</v>
      </c>
      <c r="I20" s="2">
        <v>1</v>
      </c>
      <c r="J20" s="2">
        <v>1</v>
      </c>
      <c r="K20" s="2">
        <v>0</v>
      </c>
      <c r="L20" s="2">
        <v>1</v>
      </c>
      <c r="M20" s="4">
        <f t="shared" si="0"/>
        <v>4</v>
      </c>
      <c r="N20" s="4">
        <f t="shared" si="1"/>
        <v>4</v>
      </c>
      <c r="O20" s="4">
        <f t="shared" si="2"/>
        <v>0</v>
      </c>
      <c r="P20" s="4">
        <f t="shared" si="3"/>
        <v>4</v>
      </c>
    </row>
    <row r="21" spans="1:16" x14ac:dyDescent="0.25">
      <c r="A21" t="s">
        <v>161</v>
      </c>
      <c r="B21" t="s">
        <v>35</v>
      </c>
      <c r="C21" t="s">
        <v>110</v>
      </c>
      <c r="D21" t="s">
        <v>19</v>
      </c>
      <c r="E21" t="s">
        <v>162</v>
      </c>
      <c r="F21" t="s">
        <v>112</v>
      </c>
      <c r="G21" t="s">
        <v>369</v>
      </c>
      <c r="H21" t="s">
        <v>359</v>
      </c>
      <c r="I21" s="2">
        <v>1</v>
      </c>
      <c r="J21" s="2">
        <v>1</v>
      </c>
      <c r="K21" s="2">
        <v>0</v>
      </c>
      <c r="L21" s="2">
        <v>1</v>
      </c>
      <c r="M21" s="4">
        <f t="shared" si="0"/>
        <v>4</v>
      </c>
      <c r="N21" s="4">
        <f t="shared" si="1"/>
        <v>4</v>
      </c>
      <c r="O21" s="4">
        <f t="shared" si="2"/>
        <v>0</v>
      </c>
      <c r="P21" s="4">
        <f t="shared" si="3"/>
        <v>4</v>
      </c>
    </row>
    <row r="22" spans="1:16" x14ac:dyDescent="0.25">
      <c r="A22" t="s">
        <v>163</v>
      </c>
      <c r="B22" t="s">
        <v>35</v>
      </c>
      <c r="C22" t="s">
        <v>164</v>
      </c>
      <c r="D22" t="s">
        <v>165</v>
      </c>
      <c r="E22" t="s">
        <v>156</v>
      </c>
      <c r="F22" t="s">
        <v>166</v>
      </c>
      <c r="G22" t="s">
        <v>364</v>
      </c>
      <c r="H22" t="s">
        <v>362</v>
      </c>
      <c r="I22" s="2">
        <v>1</v>
      </c>
      <c r="J22" s="2">
        <v>1</v>
      </c>
      <c r="K22" s="2">
        <v>0</v>
      </c>
      <c r="L22" s="2">
        <v>1</v>
      </c>
      <c r="M22" s="4">
        <f t="shared" si="0"/>
        <v>4</v>
      </c>
      <c r="N22" s="4">
        <f t="shared" si="1"/>
        <v>4</v>
      </c>
      <c r="O22" s="4">
        <f t="shared" si="2"/>
        <v>0</v>
      </c>
      <c r="P22" s="4">
        <f t="shared" si="3"/>
        <v>4</v>
      </c>
    </row>
    <row r="23" spans="1:16" x14ac:dyDescent="0.25">
      <c r="A23" t="s">
        <v>185</v>
      </c>
      <c r="B23" t="s">
        <v>184</v>
      </c>
      <c r="C23" t="s">
        <v>164</v>
      </c>
      <c r="D23" t="s">
        <v>186</v>
      </c>
      <c r="E23" t="s">
        <v>187</v>
      </c>
      <c r="F23" t="s">
        <v>166</v>
      </c>
      <c r="G23" t="s">
        <v>364</v>
      </c>
      <c r="H23" t="s">
        <v>362</v>
      </c>
      <c r="I23" s="2">
        <v>1</v>
      </c>
      <c r="J23" s="2">
        <v>1</v>
      </c>
      <c r="K23" s="2">
        <v>0</v>
      </c>
      <c r="L23" s="2">
        <v>1</v>
      </c>
      <c r="M23" s="4">
        <f t="shared" si="0"/>
        <v>4</v>
      </c>
      <c r="N23" s="4">
        <f t="shared" si="1"/>
        <v>4</v>
      </c>
      <c r="O23" s="4">
        <f t="shared" si="2"/>
        <v>0</v>
      </c>
      <c r="P23" s="4">
        <f t="shared" si="3"/>
        <v>4</v>
      </c>
    </row>
    <row r="24" spans="1:16" x14ac:dyDescent="0.25">
      <c r="A24" t="s">
        <v>209</v>
      </c>
      <c r="B24" t="s">
        <v>35</v>
      </c>
      <c r="C24" t="s">
        <v>210</v>
      </c>
      <c r="D24" t="s">
        <v>211</v>
      </c>
      <c r="E24" t="s">
        <v>212</v>
      </c>
      <c r="F24" t="s">
        <v>213</v>
      </c>
      <c r="G24" t="s">
        <v>369</v>
      </c>
      <c r="H24" t="s">
        <v>359</v>
      </c>
      <c r="I24" s="2">
        <v>1</v>
      </c>
      <c r="J24" s="2">
        <v>0.7</v>
      </c>
      <c r="K24" s="2">
        <v>0.35</v>
      </c>
      <c r="L24" s="2">
        <v>1</v>
      </c>
      <c r="M24" s="4">
        <f t="shared" si="0"/>
        <v>4</v>
      </c>
      <c r="N24" s="4">
        <f t="shared" si="1"/>
        <v>3</v>
      </c>
      <c r="O24" s="4">
        <f t="shared" si="2"/>
        <v>2</v>
      </c>
      <c r="P24" s="4">
        <f t="shared" si="3"/>
        <v>4</v>
      </c>
    </row>
    <row r="25" spans="1:16" x14ac:dyDescent="0.25">
      <c r="A25" t="s">
        <v>109</v>
      </c>
      <c r="B25" t="s">
        <v>35</v>
      </c>
      <c r="C25" t="s">
        <v>110</v>
      </c>
      <c r="D25" t="s">
        <v>20</v>
      </c>
      <c r="E25" t="s">
        <v>111</v>
      </c>
      <c r="F25" t="s">
        <v>112</v>
      </c>
      <c r="G25" t="s">
        <v>369</v>
      </c>
      <c r="H25" t="s">
        <v>359</v>
      </c>
      <c r="I25" s="2">
        <v>1</v>
      </c>
      <c r="J25" s="2">
        <v>1</v>
      </c>
      <c r="K25" s="2">
        <v>0</v>
      </c>
      <c r="L25" s="2">
        <v>1</v>
      </c>
      <c r="M25" s="4">
        <f t="shared" si="0"/>
        <v>4</v>
      </c>
      <c r="N25" s="4">
        <f t="shared" si="1"/>
        <v>4</v>
      </c>
      <c r="O25" s="4">
        <f t="shared" si="2"/>
        <v>0</v>
      </c>
      <c r="P25" s="4">
        <f t="shared" si="3"/>
        <v>4</v>
      </c>
    </row>
    <row r="26" spans="1:16" x14ac:dyDescent="0.25">
      <c r="A26" t="s">
        <v>188</v>
      </c>
      <c r="B26" t="s">
        <v>35</v>
      </c>
      <c r="C26" t="s">
        <v>171</v>
      </c>
      <c r="D26" t="s">
        <v>23</v>
      </c>
      <c r="E26" t="s">
        <v>189</v>
      </c>
      <c r="F26" t="s">
        <v>173</v>
      </c>
      <c r="G26" t="s">
        <v>363</v>
      </c>
      <c r="H26" t="s">
        <v>362</v>
      </c>
      <c r="I26" s="2">
        <v>1</v>
      </c>
      <c r="J26" s="2">
        <v>1</v>
      </c>
      <c r="K26" s="2">
        <v>0</v>
      </c>
      <c r="L26" s="2">
        <v>1</v>
      </c>
      <c r="M26" s="4">
        <f t="shared" si="0"/>
        <v>4</v>
      </c>
      <c r="N26" s="4">
        <f t="shared" si="1"/>
        <v>4</v>
      </c>
      <c r="O26" s="4">
        <f t="shared" si="2"/>
        <v>0</v>
      </c>
      <c r="P26" s="4">
        <f t="shared" si="3"/>
        <v>4</v>
      </c>
    </row>
    <row r="27" spans="1:16" x14ac:dyDescent="0.25">
      <c r="A27" t="s">
        <v>249</v>
      </c>
      <c r="B27" t="s">
        <v>35</v>
      </c>
      <c r="C27" t="s">
        <v>110</v>
      </c>
      <c r="D27" t="s">
        <v>21</v>
      </c>
      <c r="E27" t="s">
        <v>250</v>
      </c>
      <c r="F27" t="s">
        <v>112</v>
      </c>
      <c r="G27" t="s">
        <v>370</v>
      </c>
      <c r="H27" t="s">
        <v>373</v>
      </c>
      <c r="I27" s="2">
        <v>1</v>
      </c>
      <c r="J27" s="2">
        <v>1</v>
      </c>
      <c r="K27" s="2">
        <v>0</v>
      </c>
      <c r="L27" s="2">
        <v>1</v>
      </c>
      <c r="M27" s="4">
        <f t="shared" si="0"/>
        <v>4</v>
      </c>
      <c r="N27" s="4">
        <f t="shared" si="1"/>
        <v>4</v>
      </c>
      <c r="O27" s="4">
        <f t="shared" si="2"/>
        <v>0</v>
      </c>
      <c r="P27" s="4">
        <f t="shared" si="3"/>
        <v>4</v>
      </c>
    </row>
    <row r="28" spans="1:16" x14ac:dyDescent="0.25">
      <c r="A28" t="s">
        <v>193</v>
      </c>
      <c r="B28" t="s">
        <v>35</v>
      </c>
      <c r="C28" t="s">
        <v>37</v>
      </c>
      <c r="D28" t="s">
        <v>194</v>
      </c>
      <c r="E28" t="s">
        <v>195</v>
      </c>
      <c r="F28" t="s">
        <v>81</v>
      </c>
      <c r="G28" t="s">
        <v>370</v>
      </c>
      <c r="H28" t="s">
        <v>367</v>
      </c>
      <c r="I28" s="2">
        <v>1</v>
      </c>
      <c r="J28" s="2">
        <v>1</v>
      </c>
      <c r="K28" s="2">
        <v>0</v>
      </c>
      <c r="L28" s="2">
        <v>1</v>
      </c>
      <c r="M28" s="4">
        <f t="shared" si="0"/>
        <v>4</v>
      </c>
      <c r="N28" s="4">
        <f t="shared" si="1"/>
        <v>4</v>
      </c>
      <c r="O28" s="4">
        <f t="shared" si="2"/>
        <v>0</v>
      </c>
      <c r="P28" s="4">
        <f t="shared" si="3"/>
        <v>4</v>
      </c>
    </row>
    <row r="29" spans="1:16" x14ac:dyDescent="0.25">
      <c r="A29" t="s">
        <v>167</v>
      </c>
      <c r="B29" t="s">
        <v>35</v>
      </c>
      <c r="C29" t="s">
        <v>37</v>
      </c>
      <c r="D29" t="s">
        <v>168</v>
      </c>
      <c r="E29" t="s">
        <v>169</v>
      </c>
      <c r="F29" t="s">
        <v>40</v>
      </c>
      <c r="G29" t="s">
        <v>363</v>
      </c>
      <c r="H29" t="s">
        <v>357</v>
      </c>
      <c r="I29" s="2">
        <v>1</v>
      </c>
      <c r="J29" s="2">
        <v>1</v>
      </c>
      <c r="K29" s="2">
        <v>0</v>
      </c>
      <c r="L29" s="2">
        <v>0.7</v>
      </c>
      <c r="M29" s="4">
        <f t="shared" si="0"/>
        <v>4</v>
      </c>
      <c r="N29" s="4">
        <f t="shared" si="1"/>
        <v>4</v>
      </c>
      <c r="O29" s="4">
        <f t="shared" si="2"/>
        <v>0</v>
      </c>
      <c r="P29" s="4">
        <f t="shared" si="3"/>
        <v>3</v>
      </c>
    </row>
    <row r="30" spans="1:16" x14ac:dyDescent="0.25">
      <c r="A30" t="s">
        <v>179</v>
      </c>
      <c r="B30" t="s">
        <v>35</v>
      </c>
      <c r="C30" t="s">
        <v>180</v>
      </c>
      <c r="D30" t="s">
        <v>181</v>
      </c>
      <c r="E30" t="s">
        <v>182</v>
      </c>
      <c r="F30" t="s">
        <v>183</v>
      </c>
      <c r="G30" t="s">
        <v>364</v>
      </c>
      <c r="H30" t="s">
        <v>362</v>
      </c>
      <c r="I30" s="2">
        <v>1</v>
      </c>
      <c r="J30" s="2">
        <v>1</v>
      </c>
      <c r="K30" s="2">
        <v>0</v>
      </c>
      <c r="L30" s="2">
        <v>0.7</v>
      </c>
      <c r="M30" s="4">
        <f t="shared" si="0"/>
        <v>4</v>
      </c>
      <c r="N30" s="4">
        <f t="shared" si="1"/>
        <v>4</v>
      </c>
      <c r="O30" s="4">
        <f t="shared" si="2"/>
        <v>0</v>
      </c>
      <c r="P30" s="4">
        <f t="shared" si="3"/>
        <v>3</v>
      </c>
    </row>
    <row r="31" spans="1:16" x14ac:dyDescent="0.25">
      <c r="A31" t="s">
        <v>102</v>
      </c>
      <c r="B31" t="s">
        <v>35</v>
      </c>
      <c r="C31" t="s">
        <v>103</v>
      </c>
      <c r="D31" t="s">
        <v>104</v>
      </c>
      <c r="E31" t="s">
        <v>105</v>
      </c>
      <c r="F31" t="s">
        <v>106</v>
      </c>
      <c r="G31" t="s">
        <v>360</v>
      </c>
      <c r="H31" t="s">
        <v>357</v>
      </c>
      <c r="I31" s="2">
        <v>1</v>
      </c>
      <c r="J31" s="2">
        <v>0.7</v>
      </c>
      <c r="K31" s="2">
        <v>0</v>
      </c>
      <c r="L31" s="2">
        <v>1</v>
      </c>
      <c r="M31" s="4">
        <f t="shared" si="0"/>
        <v>4</v>
      </c>
      <c r="N31" s="4">
        <f t="shared" si="1"/>
        <v>3</v>
      </c>
      <c r="O31" s="4">
        <f t="shared" si="2"/>
        <v>0</v>
      </c>
      <c r="P31" s="4">
        <f t="shared" ref="P31:P53" si="4">IF(L31=1,4,IF(L31=0.7,3,IF(L31=0.35,2,IF(L31=0.1,1,0))))</f>
        <v>4</v>
      </c>
    </row>
    <row r="32" spans="1:16" x14ac:dyDescent="0.25">
      <c r="A32" t="s">
        <v>134</v>
      </c>
      <c r="B32" t="s">
        <v>35</v>
      </c>
      <c r="C32" t="s">
        <v>42</v>
      </c>
      <c r="D32" t="s">
        <v>135</v>
      </c>
      <c r="E32" t="s">
        <v>136</v>
      </c>
      <c r="F32" t="s">
        <v>137</v>
      </c>
      <c r="G32" t="s">
        <v>369</v>
      </c>
      <c r="H32" t="s">
        <v>371</v>
      </c>
      <c r="I32" s="2">
        <v>1</v>
      </c>
      <c r="J32" s="2">
        <v>0.7</v>
      </c>
      <c r="K32" s="2">
        <v>0</v>
      </c>
      <c r="L32" s="2">
        <v>1</v>
      </c>
      <c r="M32" s="4">
        <f t="shared" si="0"/>
        <v>4</v>
      </c>
      <c r="N32" s="4">
        <f t="shared" si="1"/>
        <v>3</v>
      </c>
      <c r="O32" s="4">
        <f t="shared" si="2"/>
        <v>0</v>
      </c>
      <c r="P32" s="4">
        <f t="shared" si="4"/>
        <v>4</v>
      </c>
    </row>
    <row r="33" spans="1:16" x14ac:dyDescent="0.25">
      <c r="A33" t="s">
        <v>202</v>
      </c>
      <c r="B33" t="s">
        <v>35</v>
      </c>
      <c r="C33" t="s">
        <v>37</v>
      </c>
      <c r="D33" t="s">
        <v>203</v>
      </c>
      <c r="E33" t="s">
        <v>204</v>
      </c>
      <c r="F33" t="s">
        <v>81</v>
      </c>
      <c r="G33" t="s">
        <v>360</v>
      </c>
      <c r="H33" t="s">
        <v>357</v>
      </c>
      <c r="I33" s="2">
        <v>1</v>
      </c>
      <c r="J33" s="2">
        <v>1</v>
      </c>
      <c r="K33" s="2">
        <v>0</v>
      </c>
      <c r="L33" s="2">
        <v>0.7</v>
      </c>
      <c r="M33" s="4">
        <f t="shared" si="0"/>
        <v>4</v>
      </c>
      <c r="N33" s="4">
        <f t="shared" si="1"/>
        <v>4</v>
      </c>
      <c r="O33" s="4">
        <f t="shared" si="2"/>
        <v>0</v>
      </c>
      <c r="P33" s="4">
        <f t="shared" si="4"/>
        <v>3</v>
      </c>
    </row>
    <row r="34" spans="1:16" x14ac:dyDescent="0.25">
      <c r="A34" t="s">
        <v>138</v>
      </c>
      <c r="B34" t="s">
        <v>35</v>
      </c>
      <c r="C34" t="s">
        <v>139</v>
      </c>
      <c r="D34" t="s">
        <v>140</v>
      </c>
      <c r="E34" t="s">
        <v>141</v>
      </c>
      <c r="F34" t="s">
        <v>142</v>
      </c>
      <c r="G34" t="s">
        <v>366</v>
      </c>
      <c r="H34" t="s">
        <v>359</v>
      </c>
      <c r="I34" s="2">
        <v>1</v>
      </c>
      <c r="J34" s="2">
        <v>1</v>
      </c>
      <c r="K34" s="2">
        <v>0</v>
      </c>
      <c r="L34" s="2">
        <v>0.7</v>
      </c>
      <c r="M34" s="4">
        <f t="shared" ref="M34:M65" si="5">IF(I34=1,4,IF(I34=0.7,3,IF(I34=0.35,2,IF(I34=0.1,1,0))))</f>
        <v>4</v>
      </c>
      <c r="N34" s="4">
        <f t="shared" ref="N34:N65" si="6">IF(J34=1,4,IF(J34=0.7,3,IF(J34=0.35,2,IF(J34=0.1,1,0))))</f>
        <v>4</v>
      </c>
      <c r="O34" s="4">
        <f t="shared" ref="O34:O65" si="7">IF(K34=1,4,IF(K34=0.7,3,IF(K34=0.35,2,IF(K34=0.1,1,0))))</f>
        <v>0</v>
      </c>
      <c r="P34" s="4">
        <f t="shared" si="4"/>
        <v>3</v>
      </c>
    </row>
    <row r="35" spans="1:16" x14ac:dyDescent="0.25">
      <c r="A35" t="s">
        <v>143</v>
      </c>
      <c r="B35" t="s">
        <v>35</v>
      </c>
      <c r="C35" t="s">
        <v>85</v>
      </c>
      <c r="D35" t="s">
        <v>12</v>
      </c>
      <c r="E35" t="s">
        <v>144</v>
      </c>
      <c r="F35" t="s">
        <v>87</v>
      </c>
      <c r="G35" t="s">
        <v>370</v>
      </c>
      <c r="H35" t="s">
        <v>371</v>
      </c>
      <c r="I35" s="2">
        <v>1</v>
      </c>
      <c r="J35" s="2">
        <v>1</v>
      </c>
      <c r="K35" s="2">
        <v>0</v>
      </c>
      <c r="L35" s="2">
        <v>0.7</v>
      </c>
      <c r="M35" s="4">
        <f t="shared" si="5"/>
        <v>4</v>
      </c>
      <c r="N35" s="4">
        <f t="shared" si="6"/>
        <v>4</v>
      </c>
      <c r="O35" s="4">
        <f t="shared" si="7"/>
        <v>0</v>
      </c>
      <c r="P35" s="4">
        <f t="shared" si="4"/>
        <v>3</v>
      </c>
    </row>
    <row r="36" spans="1:16" x14ac:dyDescent="0.25">
      <c r="A36" t="s">
        <v>242</v>
      </c>
      <c r="B36" t="s">
        <v>35</v>
      </c>
      <c r="C36" t="s">
        <v>85</v>
      </c>
      <c r="D36" t="s">
        <v>10</v>
      </c>
      <c r="E36" t="s">
        <v>243</v>
      </c>
      <c r="F36" t="s">
        <v>87</v>
      </c>
      <c r="G36" t="s">
        <v>370</v>
      </c>
      <c r="H36" t="s">
        <v>367</v>
      </c>
      <c r="I36" s="2">
        <v>1</v>
      </c>
      <c r="J36" s="2">
        <v>1</v>
      </c>
      <c r="K36" s="2">
        <v>0</v>
      </c>
      <c r="L36" s="2">
        <v>0.7</v>
      </c>
      <c r="M36" s="4">
        <f t="shared" si="5"/>
        <v>4</v>
      </c>
      <c r="N36" s="4">
        <f t="shared" si="6"/>
        <v>4</v>
      </c>
      <c r="O36" s="4">
        <f t="shared" si="7"/>
        <v>0</v>
      </c>
      <c r="P36" s="4">
        <f t="shared" si="4"/>
        <v>3</v>
      </c>
    </row>
    <row r="37" spans="1:16" x14ac:dyDescent="0.25">
      <c r="A37" t="s">
        <v>150</v>
      </c>
      <c r="B37" t="s">
        <v>35</v>
      </c>
      <c r="C37" t="s">
        <v>37</v>
      </c>
      <c r="D37" t="s">
        <v>151</v>
      </c>
      <c r="E37" t="s">
        <v>152</v>
      </c>
      <c r="F37" t="s">
        <v>40</v>
      </c>
      <c r="G37" t="s">
        <v>370</v>
      </c>
      <c r="H37" t="s">
        <v>358</v>
      </c>
      <c r="I37" s="2">
        <v>1</v>
      </c>
      <c r="J37" s="2">
        <v>1</v>
      </c>
      <c r="K37" s="2">
        <v>0</v>
      </c>
      <c r="L37" s="2">
        <v>0.7</v>
      </c>
      <c r="M37" s="4">
        <f t="shared" si="5"/>
        <v>4</v>
      </c>
      <c r="N37" s="4">
        <f t="shared" si="6"/>
        <v>4</v>
      </c>
      <c r="O37" s="4">
        <f t="shared" si="7"/>
        <v>0</v>
      </c>
      <c r="P37" s="4">
        <f t="shared" si="4"/>
        <v>3</v>
      </c>
    </row>
    <row r="38" spans="1:16" x14ac:dyDescent="0.25">
      <c r="A38" t="s">
        <v>153</v>
      </c>
      <c r="B38" t="s">
        <v>35</v>
      </c>
      <c r="C38" t="s">
        <v>154</v>
      </c>
      <c r="D38" t="s">
        <v>155</v>
      </c>
      <c r="E38" t="s">
        <v>156</v>
      </c>
      <c r="F38" t="s">
        <v>157</v>
      </c>
      <c r="G38" t="s">
        <v>360</v>
      </c>
      <c r="H38" t="s">
        <v>362</v>
      </c>
      <c r="I38" s="2">
        <v>1</v>
      </c>
      <c r="J38" s="2">
        <v>1</v>
      </c>
      <c r="K38" s="2">
        <v>0</v>
      </c>
      <c r="L38" s="2">
        <v>0.7</v>
      </c>
      <c r="M38" s="4">
        <f t="shared" si="5"/>
        <v>4</v>
      </c>
      <c r="N38" s="4">
        <f t="shared" si="6"/>
        <v>4</v>
      </c>
      <c r="O38" s="4">
        <f t="shared" si="7"/>
        <v>0</v>
      </c>
      <c r="P38" s="4">
        <f t="shared" si="4"/>
        <v>3</v>
      </c>
    </row>
    <row r="39" spans="1:16" x14ac:dyDescent="0.25">
      <c r="A39" t="s">
        <v>317</v>
      </c>
      <c r="B39" t="s">
        <v>35</v>
      </c>
      <c r="C39" t="s">
        <v>37</v>
      </c>
      <c r="D39" t="s">
        <v>300</v>
      </c>
      <c r="E39" t="s">
        <v>318</v>
      </c>
      <c r="F39" t="s">
        <v>81</v>
      </c>
      <c r="G39" t="s">
        <v>369</v>
      </c>
      <c r="H39" t="s">
        <v>362</v>
      </c>
      <c r="I39" s="2">
        <v>1</v>
      </c>
      <c r="J39" s="2">
        <v>1</v>
      </c>
      <c r="K39" s="2">
        <v>0</v>
      </c>
      <c r="L39" s="2">
        <v>0.7</v>
      </c>
      <c r="M39" s="4">
        <f t="shared" si="5"/>
        <v>4</v>
      </c>
      <c r="N39" s="4">
        <f t="shared" si="6"/>
        <v>4</v>
      </c>
      <c r="O39" s="4">
        <f t="shared" si="7"/>
        <v>0</v>
      </c>
      <c r="P39" s="4">
        <f t="shared" si="4"/>
        <v>3</v>
      </c>
    </row>
    <row r="40" spans="1:16" x14ac:dyDescent="0.25">
      <c r="A40" t="s">
        <v>158</v>
      </c>
      <c r="B40" t="s">
        <v>35</v>
      </c>
      <c r="C40" t="s">
        <v>91</v>
      </c>
      <c r="D40" t="s">
        <v>159</v>
      </c>
      <c r="E40" t="s">
        <v>160</v>
      </c>
      <c r="F40" t="s">
        <v>94</v>
      </c>
      <c r="G40" t="s">
        <v>361</v>
      </c>
      <c r="H40" t="s">
        <v>367</v>
      </c>
      <c r="I40" s="2">
        <v>1</v>
      </c>
      <c r="J40" s="2">
        <v>1</v>
      </c>
      <c r="K40" s="2">
        <v>0</v>
      </c>
      <c r="L40" s="2">
        <v>0.7</v>
      </c>
      <c r="M40" s="4">
        <f t="shared" si="5"/>
        <v>4</v>
      </c>
      <c r="N40" s="4">
        <f t="shared" si="6"/>
        <v>4</v>
      </c>
      <c r="O40" s="4">
        <f t="shared" si="7"/>
        <v>0</v>
      </c>
      <c r="P40" s="4">
        <f t="shared" si="4"/>
        <v>3</v>
      </c>
    </row>
    <row r="41" spans="1:16" x14ac:dyDescent="0.25">
      <c r="A41" t="s">
        <v>222</v>
      </c>
      <c r="B41" t="s">
        <v>35</v>
      </c>
      <c r="C41" t="s">
        <v>130</v>
      </c>
      <c r="D41" t="s">
        <v>223</v>
      </c>
      <c r="E41" t="s">
        <v>224</v>
      </c>
      <c r="F41" t="s">
        <v>133</v>
      </c>
      <c r="G41" t="s">
        <v>372</v>
      </c>
      <c r="H41" t="s">
        <v>373</v>
      </c>
      <c r="I41" s="2">
        <v>1</v>
      </c>
      <c r="J41" s="2">
        <v>1</v>
      </c>
      <c r="K41" s="2">
        <v>0.1</v>
      </c>
      <c r="L41" s="2">
        <v>0.7</v>
      </c>
      <c r="M41" s="4">
        <f t="shared" si="5"/>
        <v>4</v>
      </c>
      <c r="N41" s="4">
        <f t="shared" si="6"/>
        <v>4</v>
      </c>
      <c r="O41" s="4">
        <f t="shared" si="7"/>
        <v>1</v>
      </c>
      <c r="P41" s="4">
        <f t="shared" si="4"/>
        <v>3</v>
      </c>
    </row>
    <row r="42" spans="1:16" x14ac:dyDescent="0.25">
      <c r="A42" t="s">
        <v>170</v>
      </c>
      <c r="B42" t="s">
        <v>35</v>
      </c>
      <c r="C42" t="s">
        <v>171</v>
      </c>
      <c r="D42" t="s">
        <v>28</v>
      </c>
      <c r="E42" t="s">
        <v>172</v>
      </c>
      <c r="F42" t="s">
        <v>173</v>
      </c>
      <c r="G42" t="s">
        <v>370</v>
      </c>
      <c r="H42" t="s">
        <v>362</v>
      </c>
      <c r="I42" s="2">
        <v>1</v>
      </c>
      <c r="J42" s="2">
        <v>1</v>
      </c>
      <c r="K42" s="2">
        <v>0.1</v>
      </c>
      <c r="L42" s="2">
        <v>0.7</v>
      </c>
      <c r="M42" s="4">
        <f t="shared" si="5"/>
        <v>4</v>
      </c>
      <c r="N42" s="4">
        <f t="shared" si="6"/>
        <v>4</v>
      </c>
      <c r="O42" s="4">
        <f t="shared" si="7"/>
        <v>1</v>
      </c>
      <c r="P42" s="4">
        <f t="shared" si="4"/>
        <v>3</v>
      </c>
    </row>
    <row r="43" spans="1:16" x14ac:dyDescent="0.25">
      <c r="A43" t="s">
        <v>98</v>
      </c>
      <c r="B43" t="s">
        <v>35</v>
      </c>
      <c r="C43" t="s">
        <v>99</v>
      </c>
      <c r="D43" t="s">
        <v>25</v>
      </c>
      <c r="E43" t="s">
        <v>100</v>
      </c>
      <c r="F43" t="s">
        <v>101</v>
      </c>
      <c r="G43" t="s">
        <v>369</v>
      </c>
      <c r="H43" t="s">
        <v>359</v>
      </c>
      <c r="I43" s="2">
        <v>1</v>
      </c>
      <c r="J43" s="2">
        <v>1</v>
      </c>
      <c r="K43" s="2">
        <v>0</v>
      </c>
      <c r="L43" s="2">
        <v>0.7</v>
      </c>
      <c r="M43" s="4">
        <f t="shared" si="5"/>
        <v>4</v>
      </c>
      <c r="N43" s="4">
        <f t="shared" si="6"/>
        <v>4</v>
      </c>
      <c r="O43" s="4">
        <f t="shared" si="7"/>
        <v>0</v>
      </c>
      <c r="P43" s="4">
        <f t="shared" si="4"/>
        <v>3</v>
      </c>
    </row>
    <row r="44" spans="1:16" x14ac:dyDescent="0.25">
      <c r="A44" t="s">
        <v>121</v>
      </c>
      <c r="B44" t="s">
        <v>35</v>
      </c>
      <c r="C44" t="s">
        <v>122</v>
      </c>
      <c r="D44" t="s">
        <v>26</v>
      </c>
      <c r="E44" t="s">
        <v>123</v>
      </c>
      <c r="F44" t="s">
        <v>124</v>
      </c>
      <c r="G44" t="s">
        <v>370</v>
      </c>
      <c r="H44" t="s">
        <v>371</v>
      </c>
      <c r="I44" s="2">
        <v>1</v>
      </c>
      <c r="J44" s="2">
        <v>0.7</v>
      </c>
      <c r="K44" s="2">
        <v>0</v>
      </c>
      <c r="L44" s="2">
        <v>0.7</v>
      </c>
      <c r="M44" s="4">
        <f t="shared" si="5"/>
        <v>4</v>
      </c>
      <c r="N44" s="4">
        <f t="shared" si="6"/>
        <v>3</v>
      </c>
      <c r="O44" s="4">
        <f t="shared" si="7"/>
        <v>0</v>
      </c>
      <c r="P44" s="4">
        <f t="shared" si="4"/>
        <v>3</v>
      </c>
    </row>
    <row r="45" spans="1:16" x14ac:dyDescent="0.25">
      <c r="A45" t="s">
        <v>285</v>
      </c>
      <c r="B45" t="s">
        <v>35</v>
      </c>
      <c r="C45" t="s">
        <v>239</v>
      </c>
      <c r="D45" t="s">
        <v>16</v>
      </c>
      <c r="E45" t="s">
        <v>286</v>
      </c>
      <c r="F45" t="s">
        <v>241</v>
      </c>
      <c r="G45" t="s">
        <v>361</v>
      </c>
      <c r="H45" t="s">
        <v>359</v>
      </c>
      <c r="I45" s="2">
        <v>1</v>
      </c>
      <c r="J45" s="2">
        <v>1</v>
      </c>
      <c r="K45" s="2">
        <v>0</v>
      </c>
      <c r="L45" s="2">
        <v>0.7</v>
      </c>
      <c r="M45" s="4">
        <f t="shared" si="5"/>
        <v>4</v>
      </c>
      <c r="N45" s="4">
        <f t="shared" si="6"/>
        <v>4</v>
      </c>
      <c r="O45" s="4">
        <f t="shared" si="7"/>
        <v>0</v>
      </c>
      <c r="P45" s="4">
        <f t="shared" si="4"/>
        <v>3</v>
      </c>
    </row>
    <row r="46" spans="1:16" x14ac:dyDescent="0.25">
      <c r="A46" t="s">
        <v>107</v>
      </c>
      <c r="B46" t="s">
        <v>35</v>
      </c>
      <c r="C46" t="s">
        <v>85</v>
      </c>
      <c r="D46" t="s">
        <v>11</v>
      </c>
      <c r="E46" t="s">
        <v>108</v>
      </c>
      <c r="F46" t="s">
        <v>87</v>
      </c>
      <c r="G46" t="s">
        <v>370</v>
      </c>
      <c r="H46" t="s">
        <v>357</v>
      </c>
      <c r="I46" s="2">
        <v>1</v>
      </c>
      <c r="J46" s="2">
        <v>1</v>
      </c>
      <c r="K46" s="2">
        <v>0</v>
      </c>
      <c r="L46" s="2">
        <v>0.7</v>
      </c>
      <c r="M46" s="4">
        <f t="shared" si="5"/>
        <v>4</v>
      </c>
      <c r="N46" s="4">
        <f t="shared" si="6"/>
        <v>4</v>
      </c>
      <c r="O46" s="4">
        <f t="shared" si="7"/>
        <v>0</v>
      </c>
      <c r="P46" s="4">
        <f t="shared" si="4"/>
        <v>3</v>
      </c>
    </row>
    <row r="47" spans="1:16" x14ac:dyDescent="0.25">
      <c r="A47" t="s">
        <v>113</v>
      </c>
      <c r="B47" t="s">
        <v>35</v>
      </c>
      <c r="C47" t="s">
        <v>103</v>
      </c>
      <c r="D47" t="s">
        <v>114</v>
      </c>
      <c r="E47" t="s">
        <v>115</v>
      </c>
      <c r="F47" t="s">
        <v>106</v>
      </c>
      <c r="G47" t="s">
        <v>369</v>
      </c>
      <c r="H47" t="s">
        <v>357</v>
      </c>
      <c r="I47" s="2">
        <v>1</v>
      </c>
      <c r="J47" s="2">
        <v>1</v>
      </c>
      <c r="K47" s="2">
        <v>0</v>
      </c>
      <c r="L47" s="2">
        <v>0.7</v>
      </c>
      <c r="M47" s="4">
        <f t="shared" si="5"/>
        <v>4</v>
      </c>
      <c r="N47" s="4">
        <f t="shared" si="6"/>
        <v>4</v>
      </c>
      <c r="O47" s="4">
        <f t="shared" si="7"/>
        <v>0</v>
      </c>
      <c r="P47" s="4">
        <f t="shared" si="4"/>
        <v>3</v>
      </c>
    </row>
    <row r="48" spans="1:16" x14ac:dyDescent="0.25">
      <c r="A48" t="s">
        <v>196</v>
      </c>
      <c r="B48" t="s">
        <v>35</v>
      </c>
      <c r="C48" t="s">
        <v>37</v>
      </c>
      <c r="D48" t="s">
        <v>197</v>
      </c>
      <c r="E48" t="s">
        <v>198</v>
      </c>
      <c r="F48" t="s">
        <v>81</v>
      </c>
      <c r="G48" t="s">
        <v>360</v>
      </c>
      <c r="H48" t="s">
        <v>362</v>
      </c>
      <c r="I48" s="2">
        <v>1</v>
      </c>
      <c r="J48" s="2">
        <v>0.7</v>
      </c>
      <c r="K48" s="2">
        <v>0</v>
      </c>
      <c r="L48" s="2">
        <v>0.7</v>
      </c>
      <c r="M48" s="4">
        <f t="shared" si="5"/>
        <v>4</v>
      </c>
      <c r="N48" s="4">
        <f t="shared" si="6"/>
        <v>3</v>
      </c>
      <c r="O48" s="4">
        <f t="shared" si="7"/>
        <v>0</v>
      </c>
      <c r="P48" s="4">
        <f t="shared" si="4"/>
        <v>3</v>
      </c>
    </row>
    <row r="49" spans="1:16" x14ac:dyDescent="0.25">
      <c r="A49" t="s">
        <v>255</v>
      </c>
      <c r="B49" t="s">
        <v>35</v>
      </c>
      <c r="C49" t="s">
        <v>239</v>
      </c>
      <c r="D49" t="s">
        <v>17</v>
      </c>
      <c r="E49" t="s">
        <v>256</v>
      </c>
      <c r="F49" t="s">
        <v>241</v>
      </c>
      <c r="G49" t="s">
        <v>372</v>
      </c>
      <c r="H49" t="s">
        <v>373</v>
      </c>
      <c r="I49" s="2">
        <v>0.7</v>
      </c>
      <c r="J49" s="2">
        <v>0.7</v>
      </c>
      <c r="K49" s="2">
        <v>0</v>
      </c>
      <c r="L49" s="2">
        <v>1</v>
      </c>
      <c r="M49" s="4">
        <f t="shared" si="5"/>
        <v>3</v>
      </c>
      <c r="N49" s="4">
        <f t="shared" si="6"/>
        <v>3</v>
      </c>
      <c r="O49" s="4">
        <f t="shared" si="7"/>
        <v>0</v>
      </c>
      <c r="P49" s="4">
        <f t="shared" si="4"/>
        <v>4</v>
      </c>
    </row>
    <row r="50" spans="1:16" x14ac:dyDescent="0.25">
      <c r="A50" t="s">
        <v>205</v>
      </c>
      <c r="B50" t="s">
        <v>35</v>
      </c>
      <c r="C50" t="s">
        <v>85</v>
      </c>
      <c r="D50" t="s">
        <v>15</v>
      </c>
      <c r="E50" t="s">
        <v>206</v>
      </c>
      <c r="F50" t="s">
        <v>87</v>
      </c>
      <c r="G50" t="s">
        <v>363</v>
      </c>
      <c r="H50" t="s">
        <v>358</v>
      </c>
      <c r="I50" s="2">
        <v>1</v>
      </c>
      <c r="J50" s="2">
        <v>0.7</v>
      </c>
      <c r="K50" s="2">
        <v>0</v>
      </c>
      <c r="L50" s="2">
        <v>0.7</v>
      </c>
      <c r="M50" s="4">
        <f t="shared" si="5"/>
        <v>4</v>
      </c>
      <c r="N50" s="4">
        <f t="shared" si="6"/>
        <v>3</v>
      </c>
      <c r="O50" s="4">
        <f t="shared" si="7"/>
        <v>0</v>
      </c>
      <c r="P50" s="4">
        <f t="shared" si="4"/>
        <v>3</v>
      </c>
    </row>
    <row r="51" spans="1:16" x14ac:dyDescent="0.25">
      <c r="A51" t="s">
        <v>309</v>
      </c>
      <c r="B51" t="s">
        <v>184</v>
      </c>
      <c r="C51" t="s">
        <v>310</v>
      </c>
      <c r="D51" t="s">
        <v>311</v>
      </c>
      <c r="E51" t="s">
        <v>312</v>
      </c>
      <c r="F51" t="s">
        <v>313</v>
      </c>
      <c r="G51" t="s">
        <v>370</v>
      </c>
      <c r="H51" t="s">
        <v>359</v>
      </c>
      <c r="I51" s="2">
        <v>1</v>
      </c>
      <c r="J51" s="2">
        <v>0.7</v>
      </c>
      <c r="K51" s="2">
        <v>0</v>
      </c>
      <c r="L51" s="2">
        <v>0.7</v>
      </c>
      <c r="M51" s="4">
        <f t="shared" si="5"/>
        <v>4</v>
      </c>
      <c r="N51" s="4">
        <f t="shared" si="6"/>
        <v>3</v>
      </c>
      <c r="O51" s="4">
        <f t="shared" si="7"/>
        <v>0</v>
      </c>
      <c r="P51" s="4">
        <f t="shared" si="4"/>
        <v>3</v>
      </c>
    </row>
    <row r="52" spans="1:16" x14ac:dyDescent="0.25">
      <c r="A52" t="s">
        <v>145</v>
      </c>
      <c r="B52" t="s">
        <v>35</v>
      </c>
      <c r="C52" t="s">
        <v>146</v>
      </c>
      <c r="D52" t="s">
        <v>147</v>
      </c>
      <c r="E52" t="s">
        <v>148</v>
      </c>
      <c r="F52" t="s">
        <v>149</v>
      </c>
      <c r="G52" t="s">
        <v>366</v>
      </c>
      <c r="H52" t="s">
        <v>359</v>
      </c>
      <c r="I52" s="2">
        <v>1</v>
      </c>
      <c r="J52" s="2">
        <v>0.7</v>
      </c>
      <c r="K52" s="2">
        <v>0</v>
      </c>
      <c r="L52" s="2">
        <v>0.7</v>
      </c>
      <c r="M52" s="4">
        <f t="shared" si="5"/>
        <v>4</v>
      </c>
      <c r="N52" s="4">
        <f t="shared" si="6"/>
        <v>3</v>
      </c>
      <c r="O52" s="4">
        <f t="shared" si="7"/>
        <v>0</v>
      </c>
      <c r="P52" s="4">
        <f t="shared" si="4"/>
        <v>3</v>
      </c>
    </row>
    <row r="53" spans="1:16" x14ac:dyDescent="0.25">
      <c r="A53" t="s">
        <v>314</v>
      </c>
      <c r="B53" t="s">
        <v>35</v>
      </c>
      <c r="C53" t="s">
        <v>37</v>
      </c>
      <c r="D53" t="s">
        <v>315</v>
      </c>
      <c r="E53" t="s">
        <v>316</v>
      </c>
      <c r="F53" t="s">
        <v>40</v>
      </c>
      <c r="G53" t="s">
        <v>375</v>
      </c>
      <c r="H53" t="s">
        <v>357</v>
      </c>
      <c r="I53" s="2">
        <v>1</v>
      </c>
      <c r="J53" s="2">
        <v>0.7</v>
      </c>
      <c r="K53" s="2">
        <v>0</v>
      </c>
      <c r="L53" s="2">
        <v>0.7</v>
      </c>
      <c r="M53" s="4">
        <f t="shared" si="5"/>
        <v>4</v>
      </c>
      <c r="N53" s="4">
        <f t="shared" si="6"/>
        <v>3</v>
      </c>
      <c r="O53" s="4">
        <f t="shared" si="7"/>
        <v>0</v>
      </c>
      <c r="P53" s="4">
        <f t="shared" si="4"/>
        <v>3</v>
      </c>
    </row>
    <row r="54" spans="1:16" x14ac:dyDescent="0.25">
      <c r="A54" t="s">
        <v>214</v>
      </c>
      <c r="B54" t="s">
        <v>35</v>
      </c>
      <c r="C54" t="s">
        <v>139</v>
      </c>
      <c r="D54" t="s">
        <v>30</v>
      </c>
      <c r="E54" t="s">
        <v>215</v>
      </c>
      <c r="F54" t="s">
        <v>142</v>
      </c>
      <c r="G54" t="s">
        <v>372</v>
      </c>
      <c r="H54" t="s">
        <v>373</v>
      </c>
      <c r="I54" s="2">
        <v>1</v>
      </c>
      <c r="J54" s="2">
        <v>0.7</v>
      </c>
      <c r="K54" s="2">
        <v>0.35</v>
      </c>
      <c r="L54" s="2">
        <v>0.7</v>
      </c>
      <c r="M54" s="4">
        <f t="shared" si="5"/>
        <v>4</v>
      </c>
      <c r="N54" s="4">
        <f t="shared" si="6"/>
        <v>3</v>
      </c>
      <c r="O54" s="4">
        <f t="shared" si="7"/>
        <v>2</v>
      </c>
      <c r="P54" s="4">
        <f t="shared" ref="P54:P75" si="8">IF(L54=1,4,IF(L54=0.7,3,IF(L54=0.35,2,IF(L54=0.1,1,0))))</f>
        <v>3</v>
      </c>
    </row>
    <row r="55" spans="1:16" x14ac:dyDescent="0.25">
      <c r="A55" t="s">
        <v>216</v>
      </c>
      <c r="B55" t="s">
        <v>35</v>
      </c>
      <c r="C55" t="s">
        <v>117</v>
      </c>
      <c r="D55" t="s">
        <v>217</v>
      </c>
      <c r="E55" t="s">
        <v>208</v>
      </c>
      <c r="F55" t="s">
        <v>120</v>
      </c>
      <c r="G55" t="s">
        <v>372</v>
      </c>
      <c r="H55" t="s">
        <v>373</v>
      </c>
      <c r="I55" s="2">
        <v>0.7</v>
      </c>
      <c r="J55" s="2">
        <v>1</v>
      </c>
      <c r="K55" s="2">
        <v>0</v>
      </c>
      <c r="L55" s="2">
        <v>0.7</v>
      </c>
      <c r="M55" s="4">
        <f t="shared" si="5"/>
        <v>3</v>
      </c>
      <c r="N55" s="4">
        <f t="shared" si="6"/>
        <v>4</v>
      </c>
      <c r="O55" s="4">
        <f t="shared" si="7"/>
        <v>0</v>
      </c>
      <c r="P55" s="4">
        <f t="shared" si="8"/>
        <v>3</v>
      </c>
    </row>
    <row r="56" spans="1:16" x14ac:dyDescent="0.25">
      <c r="A56" t="s">
        <v>346</v>
      </c>
      <c r="B56" t="s">
        <v>35</v>
      </c>
      <c r="C56" t="s">
        <v>42</v>
      </c>
      <c r="D56" t="s">
        <v>347</v>
      </c>
      <c r="E56" t="s">
        <v>348</v>
      </c>
      <c r="F56" t="s">
        <v>45</v>
      </c>
      <c r="G56" t="s">
        <v>368</v>
      </c>
      <c r="H56" t="s">
        <v>362</v>
      </c>
      <c r="I56" s="2">
        <v>1</v>
      </c>
      <c r="J56" s="2">
        <v>0.7</v>
      </c>
      <c r="K56" s="2">
        <v>0</v>
      </c>
      <c r="L56" s="2">
        <v>0.7</v>
      </c>
      <c r="M56" s="4">
        <f t="shared" si="5"/>
        <v>4</v>
      </c>
      <c r="N56" s="4">
        <f t="shared" si="6"/>
        <v>3</v>
      </c>
      <c r="O56" s="4">
        <f t="shared" si="7"/>
        <v>0</v>
      </c>
      <c r="P56" s="4">
        <f t="shared" si="8"/>
        <v>3</v>
      </c>
    </row>
    <row r="57" spans="1:16" x14ac:dyDescent="0.25">
      <c r="A57" t="s">
        <v>225</v>
      </c>
      <c r="B57" t="s">
        <v>35</v>
      </c>
      <c r="C57" t="s">
        <v>91</v>
      </c>
      <c r="D57" t="s">
        <v>226</v>
      </c>
      <c r="E57" t="s">
        <v>227</v>
      </c>
      <c r="F57" t="s">
        <v>94</v>
      </c>
      <c r="G57" t="s">
        <v>361</v>
      </c>
      <c r="H57" t="s">
        <v>357</v>
      </c>
      <c r="I57" s="2">
        <v>1</v>
      </c>
      <c r="J57" s="2">
        <v>0.7</v>
      </c>
      <c r="K57" s="2">
        <v>0</v>
      </c>
      <c r="L57" s="2">
        <v>0.7</v>
      </c>
      <c r="M57" s="4">
        <f t="shared" si="5"/>
        <v>4</v>
      </c>
      <c r="N57" s="4">
        <f t="shared" si="6"/>
        <v>3</v>
      </c>
      <c r="O57" s="4">
        <f t="shared" si="7"/>
        <v>0</v>
      </c>
      <c r="P57" s="4">
        <f t="shared" si="8"/>
        <v>3</v>
      </c>
    </row>
    <row r="58" spans="1:16" x14ac:dyDescent="0.25">
      <c r="A58" t="s">
        <v>190</v>
      </c>
      <c r="B58" t="s">
        <v>35</v>
      </c>
      <c r="C58" t="s">
        <v>37</v>
      </c>
      <c r="D58" t="s">
        <v>191</v>
      </c>
      <c r="E58" t="s">
        <v>192</v>
      </c>
      <c r="F58" t="s">
        <v>40</v>
      </c>
      <c r="G58" t="s">
        <v>369</v>
      </c>
      <c r="H58" t="s">
        <v>362</v>
      </c>
      <c r="I58" s="2">
        <v>1</v>
      </c>
      <c r="J58" s="2">
        <v>0.7</v>
      </c>
      <c r="K58" s="2">
        <v>0</v>
      </c>
      <c r="L58" s="2">
        <v>0.7</v>
      </c>
      <c r="M58" s="4">
        <f t="shared" si="5"/>
        <v>4</v>
      </c>
      <c r="N58" s="4">
        <f t="shared" si="6"/>
        <v>3</v>
      </c>
      <c r="O58" s="4">
        <f t="shared" si="7"/>
        <v>0</v>
      </c>
      <c r="P58" s="4">
        <f t="shared" si="8"/>
        <v>3</v>
      </c>
    </row>
    <row r="59" spans="1:16" x14ac:dyDescent="0.25">
      <c r="A59" t="s">
        <v>275</v>
      </c>
      <c r="B59" t="s">
        <v>35</v>
      </c>
      <c r="C59" t="s">
        <v>245</v>
      </c>
      <c r="D59" t="s">
        <v>24</v>
      </c>
      <c r="E59" t="s">
        <v>276</v>
      </c>
      <c r="F59" t="s">
        <v>248</v>
      </c>
      <c r="G59" t="s">
        <v>374</v>
      </c>
      <c r="H59" t="s">
        <v>362</v>
      </c>
      <c r="I59" s="2">
        <v>0.7</v>
      </c>
      <c r="J59" s="2">
        <v>1</v>
      </c>
      <c r="K59" s="2">
        <v>0</v>
      </c>
      <c r="L59" s="2">
        <v>0.7</v>
      </c>
      <c r="M59" s="4">
        <f t="shared" si="5"/>
        <v>3</v>
      </c>
      <c r="N59" s="4">
        <f t="shared" si="6"/>
        <v>4</v>
      </c>
      <c r="O59" s="4">
        <f t="shared" si="7"/>
        <v>0</v>
      </c>
      <c r="P59" s="4">
        <f t="shared" si="8"/>
        <v>3</v>
      </c>
    </row>
    <row r="60" spans="1:16" x14ac:dyDescent="0.25">
      <c r="A60" t="s">
        <v>233</v>
      </c>
      <c r="B60" t="s">
        <v>35</v>
      </c>
      <c r="C60" t="s">
        <v>234</v>
      </c>
      <c r="D60" t="s">
        <v>235</v>
      </c>
      <c r="E60" t="s">
        <v>236</v>
      </c>
      <c r="F60" t="s">
        <v>237</v>
      </c>
      <c r="G60" t="s">
        <v>372</v>
      </c>
      <c r="H60" t="s">
        <v>373</v>
      </c>
      <c r="I60" s="2">
        <v>0.7</v>
      </c>
      <c r="J60" s="2">
        <v>1</v>
      </c>
      <c r="K60" s="2">
        <v>0</v>
      </c>
      <c r="L60" s="2">
        <v>0.7</v>
      </c>
      <c r="M60" s="4">
        <f t="shared" si="5"/>
        <v>3</v>
      </c>
      <c r="N60" s="4">
        <f t="shared" si="6"/>
        <v>4</v>
      </c>
      <c r="O60" s="4">
        <f t="shared" si="7"/>
        <v>0</v>
      </c>
      <c r="P60" s="4">
        <f t="shared" si="8"/>
        <v>3</v>
      </c>
    </row>
    <row r="61" spans="1:16" x14ac:dyDescent="0.25">
      <c r="A61" t="s">
        <v>46</v>
      </c>
      <c r="B61" t="s">
        <v>35</v>
      </c>
      <c r="C61" t="s">
        <v>47</v>
      </c>
      <c r="D61" t="s">
        <v>48</v>
      </c>
      <c r="E61" t="s">
        <v>49</v>
      </c>
      <c r="F61" t="s">
        <v>50</v>
      </c>
      <c r="G61" t="s">
        <v>361</v>
      </c>
      <c r="H61" t="s">
        <v>359</v>
      </c>
      <c r="I61" s="2">
        <v>0.7</v>
      </c>
      <c r="J61" s="2">
        <v>1</v>
      </c>
      <c r="K61" s="2">
        <v>0</v>
      </c>
      <c r="L61" s="2">
        <v>0.7</v>
      </c>
      <c r="M61" s="4">
        <f t="shared" si="5"/>
        <v>3</v>
      </c>
      <c r="N61" s="4">
        <f t="shared" si="6"/>
        <v>4</v>
      </c>
      <c r="O61" s="4">
        <f t="shared" si="7"/>
        <v>0</v>
      </c>
      <c r="P61" s="4">
        <f t="shared" si="8"/>
        <v>3</v>
      </c>
    </row>
    <row r="62" spans="1:16" x14ac:dyDescent="0.25">
      <c r="A62" t="s">
        <v>238</v>
      </c>
      <c r="B62" t="s">
        <v>35</v>
      </c>
      <c r="C62" t="s">
        <v>239</v>
      </c>
      <c r="D62" t="s">
        <v>18</v>
      </c>
      <c r="E62" t="s">
        <v>240</v>
      </c>
      <c r="F62" t="s">
        <v>241</v>
      </c>
      <c r="G62" t="s">
        <v>368</v>
      </c>
      <c r="H62" t="s">
        <v>359</v>
      </c>
      <c r="I62" s="2">
        <v>0.7</v>
      </c>
      <c r="J62" s="2">
        <v>1</v>
      </c>
      <c r="K62" s="2">
        <v>0.1</v>
      </c>
      <c r="L62" s="2">
        <v>0.7</v>
      </c>
      <c r="M62" s="4">
        <f t="shared" si="5"/>
        <v>3</v>
      </c>
      <c r="N62" s="4">
        <f t="shared" si="6"/>
        <v>4</v>
      </c>
      <c r="O62" s="4">
        <f t="shared" si="7"/>
        <v>1</v>
      </c>
      <c r="P62" s="4">
        <f t="shared" si="8"/>
        <v>3</v>
      </c>
    </row>
    <row r="63" spans="1:16" x14ac:dyDescent="0.25">
      <c r="A63" t="s">
        <v>302</v>
      </c>
      <c r="B63" t="s">
        <v>35</v>
      </c>
      <c r="C63" t="s">
        <v>303</v>
      </c>
      <c r="D63" t="s">
        <v>304</v>
      </c>
      <c r="E63" t="s">
        <v>305</v>
      </c>
      <c r="F63" t="s">
        <v>306</v>
      </c>
      <c r="G63" t="s">
        <v>374</v>
      </c>
      <c r="H63" t="s">
        <v>359</v>
      </c>
      <c r="I63" s="2">
        <v>0.7</v>
      </c>
      <c r="J63" s="2">
        <v>1</v>
      </c>
      <c r="K63" s="2">
        <v>0</v>
      </c>
      <c r="L63" s="2">
        <v>0.7</v>
      </c>
      <c r="M63" s="4">
        <f t="shared" si="5"/>
        <v>3</v>
      </c>
      <c r="N63" s="4">
        <f t="shared" si="6"/>
        <v>4</v>
      </c>
      <c r="O63" s="4">
        <f t="shared" si="7"/>
        <v>0</v>
      </c>
      <c r="P63" s="4">
        <f t="shared" si="8"/>
        <v>3</v>
      </c>
    </row>
    <row r="64" spans="1:16" x14ac:dyDescent="0.25">
      <c r="A64" t="s">
        <v>244</v>
      </c>
      <c r="B64" t="s">
        <v>35</v>
      </c>
      <c r="C64" t="s">
        <v>245</v>
      </c>
      <c r="D64" t="s">
        <v>246</v>
      </c>
      <c r="E64" t="s">
        <v>247</v>
      </c>
      <c r="F64" t="s">
        <v>248</v>
      </c>
      <c r="G64" t="s">
        <v>374</v>
      </c>
      <c r="H64" t="s">
        <v>362</v>
      </c>
      <c r="I64" s="2">
        <v>0.7</v>
      </c>
      <c r="J64" s="2">
        <v>1</v>
      </c>
      <c r="K64" s="2">
        <v>0</v>
      </c>
      <c r="L64" s="2">
        <v>0.7</v>
      </c>
      <c r="M64" s="4">
        <f t="shared" si="5"/>
        <v>3</v>
      </c>
      <c r="N64" s="4">
        <f t="shared" si="6"/>
        <v>4</v>
      </c>
      <c r="O64" s="4">
        <f t="shared" si="7"/>
        <v>0</v>
      </c>
      <c r="P64" s="4">
        <f t="shared" si="8"/>
        <v>3</v>
      </c>
    </row>
    <row r="65" spans="1:16" x14ac:dyDescent="0.25">
      <c r="A65" t="s">
        <v>307</v>
      </c>
      <c r="B65" t="s">
        <v>35</v>
      </c>
      <c r="C65" t="s">
        <v>267</v>
      </c>
      <c r="D65" t="s">
        <v>308</v>
      </c>
      <c r="E65" t="s">
        <v>208</v>
      </c>
      <c r="F65" t="s">
        <v>270</v>
      </c>
      <c r="G65" t="s">
        <v>372</v>
      </c>
      <c r="H65" t="s">
        <v>373</v>
      </c>
      <c r="I65" s="2">
        <v>0.7</v>
      </c>
      <c r="J65" s="2">
        <v>1</v>
      </c>
      <c r="K65" s="2">
        <v>0</v>
      </c>
      <c r="L65" s="2">
        <v>0.7</v>
      </c>
      <c r="M65" s="4">
        <f t="shared" si="5"/>
        <v>3</v>
      </c>
      <c r="N65" s="4">
        <f t="shared" si="6"/>
        <v>4</v>
      </c>
      <c r="O65" s="4">
        <f t="shared" si="7"/>
        <v>0</v>
      </c>
      <c r="P65" s="4">
        <f t="shared" si="8"/>
        <v>3</v>
      </c>
    </row>
    <row r="66" spans="1:16" x14ac:dyDescent="0.25">
      <c r="A66" t="s">
        <v>251</v>
      </c>
      <c r="B66" t="s">
        <v>35</v>
      </c>
      <c r="C66" t="s">
        <v>219</v>
      </c>
      <c r="D66" t="s">
        <v>252</v>
      </c>
      <c r="E66" t="s">
        <v>208</v>
      </c>
      <c r="F66" t="s">
        <v>221</v>
      </c>
      <c r="G66" t="s">
        <v>372</v>
      </c>
      <c r="H66" t="s">
        <v>373</v>
      </c>
      <c r="I66" s="2">
        <v>0.7</v>
      </c>
      <c r="J66" s="2">
        <v>0.7</v>
      </c>
      <c r="K66" s="2">
        <v>0</v>
      </c>
      <c r="L66" s="2">
        <v>0.7</v>
      </c>
      <c r="M66" s="4">
        <f t="shared" ref="M66:M91" si="9">IF(I66=1,4,IF(I66=0.7,3,IF(I66=0.35,2,IF(I66=0.1,1,0))))</f>
        <v>3</v>
      </c>
      <c r="N66" s="4">
        <f t="shared" ref="N66:N91" si="10">IF(J66=1,4,IF(J66=0.7,3,IF(J66=0.35,2,IF(J66=0.1,1,0))))</f>
        <v>3</v>
      </c>
      <c r="O66" s="4">
        <f t="shared" ref="O66:O91" si="11">IF(K66=1,4,IF(K66=0.7,3,IF(K66=0.35,2,IF(K66=0.1,1,0))))</f>
        <v>0</v>
      </c>
      <c r="P66" s="4">
        <f t="shared" si="8"/>
        <v>3</v>
      </c>
    </row>
    <row r="67" spans="1:16" x14ac:dyDescent="0.25">
      <c r="A67" t="s">
        <v>218</v>
      </c>
      <c r="B67" t="s">
        <v>35</v>
      </c>
      <c r="C67" t="s">
        <v>219</v>
      </c>
      <c r="D67" t="s">
        <v>29</v>
      </c>
      <c r="E67" t="s">
        <v>220</v>
      </c>
      <c r="F67" t="s">
        <v>221</v>
      </c>
      <c r="G67" t="s">
        <v>372</v>
      </c>
      <c r="H67" t="s">
        <v>373</v>
      </c>
      <c r="I67" s="2">
        <v>0.7</v>
      </c>
      <c r="J67" s="2">
        <v>0.7</v>
      </c>
      <c r="K67" s="2">
        <v>0</v>
      </c>
      <c r="L67" s="2">
        <v>0.7</v>
      </c>
      <c r="M67" s="4">
        <f t="shared" si="9"/>
        <v>3</v>
      </c>
      <c r="N67" s="4">
        <f t="shared" si="10"/>
        <v>3</v>
      </c>
      <c r="O67" s="4">
        <f t="shared" si="11"/>
        <v>0</v>
      </c>
      <c r="P67" s="4">
        <f t="shared" si="8"/>
        <v>3</v>
      </c>
    </row>
    <row r="68" spans="1:16" x14ac:dyDescent="0.25">
      <c r="A68" t="s">
        <v>253</v>
      </c>
      <c r="B68" t="s">
        <v>35</v>
      </c>
      <c r="C68" t="s">
        <v>245</v>
      </c>
      <c r="D68" t="s">
        <v>13</v>
      </c>
      <c r="E68" t="s">
        <v>254</v>
      </c>
      <c r="F68" t="s">
        <v>248</v>
      </c>
      <c r="G68" t="s">
        <v>374</v>
      </c>
      <c r="H68" t="s">
        <v>362</v>
      </c>
      <c r="I68" s="2">
        <v>0.7</v>
      </c>
      <c r="J68" s="2">
        <v>0.7</v>
      </c>
      <c r="K68" s="2">
        <v>0</v>
      </c>
      <c r="L68" s="2">
        <v>0.7</v>
      </c>
      <c r="M68" s="4">
        <f t="shared" si="9"/>
        <v>3</v>
      </c>
      <c r="N68" s="4">
        <f t="shared" si="10"/>
        <v>3</v>
      </c>
      <c r="O68" s="4">
        <f t="shared" si="11"/>
        <v>0</v>
      </c>
      <c r="P68" s="4">
        <f t="shared" si="8"/>
        <v>3</v>
      </c>
    </row>
    <row r="69" spans="1:16" x14ac:dyDescent="0.25">
      <c r="A69" t="s">
        <v>319</v>
      </c>
      <c r="B69" t="s">
        <v>35</v>
      </c>
      <c r="C69" t="s">
        <v>245</v>
      </c>
      <c r="D69" t="s">
        <v>320</v>
      </c>
      <c r="E69" t="s">
        <v>321</v>
      </c>
      <c r="F69" t="s">
        <v>248</v>
      </c>
      <c r="G69" t="s">
        <v>374</v>
      </c>
      <c r="H69" t="s">
        <v>362</v>
      </c>
      <c r="I69" s="2">
        <v>0.7</v>
      </c>
      <c r="J69" s="2">
        <v>1</v>
      </c>
      <c r="K69" s="2">
        <v>0</v>
      </c>
      <c r="L69" s="2">
        <v>0.7</v>
      </c>
      <c r="M69" s="4">
        <f t="shared" si="9"/>
        <v>3</v>
      </c>
      <c r="N69" s="4">
        <f t="shared" si="10"/>
        <v>4</v>
      </c>
      <c r="O69" s="4">
        <f t="shared" si="11"/>
        <v>0</v>
      </c>
      <c r="P69" s="4">
        <f t="shared" si="8"/>
        <v>3</v>
      </c>
    </row>
    <row r="70" spans="1:16" x14ac:dyDescent="0.25">
      <c r="A70" t="s">
        <v>287</v>
      </c>
      <c r="B70" t="s">
        <v>35</v>
      </c>
      <c r="C70" t="s">
        <v>288</v>
      </c>
      <c r="D70" t="s">
        <v>289</v>
      </c>
      <c r="E70" t="s">
        <v>290</v>
      </c>
      <c r="F70" t="s">
        <v>291</v>
      </c>
      <c r="G70" t="s">
        <v>369</v>
      </c>
      <c r="H70" t="s">
        <v>371</v>
      </c>
      <c r="I70" s="2">
        <v>0.7</v>
      </c>
      <c r="J70" s="2">
        <v>1</v>
      </c>
      <c r="K70" s="2">
        <v>0.35</v>
      </c>
      <c r="L70" s="2">
        <v>0.7</v>
      </c>
      <c r="M70" s="4">
        <f t="shared" si="9"/>
        <v>3</v>
      </c>
      <c r="N70" s="4">
        <f t="shared" si="10"/>
        <v>4</v>
      </c>
      <c r="O70" s="4">
        <f t="shared" si="11"/>
        <v>2</v>
      </c>
      <c r="P70" s="4">
        <f t="shared" si="8"/>
        <v>3</v>
      </c>
    </row>
    <row r="71" spans="1:16" x14ac:dyDescent="0.25">
      <c r="A71" t="s">
        <v>257</v>
      </c>
      <c r="B71" t="s">
        <v>35</v>
      </c>
      <c r="C71" t="s">
        <v>258</v>
      </c>
      <c r="D71" t="s">
        <v>259</v>
      </c>
      <c r="E71" t="s">
        <v>260</v>
      </c>
      <c r="F71" t="s">
        <v>261</v>
      </c>
      <c r="G71" t="s">
        <v>361</v>
      </c>
      <c r="H71" t="s">
        <v>359</v>
      </c>
      <c r="I71" s="2">
        <v>0.7</v>
      </c>
      <c r="J71" s="2">
        <v>0.7</v>
      </c>
      <c r="K71" s="2">
        <v>0</v>
      </c>
      <c r="L71" s="2">
        <v>0.7</v>
      </c>
      <c r="M71" s="4">
        <f t="shared" si="9"/>
        <v>3</v>
      </c>
      <c r="N71" s="4">
        <f t="shared" si="10"/>
        <v>3</v>
      </c>
      <c r="O71" s="4">
        <f t="shared" si="11"/>
        <v>0</v>
      </c>
      <c r="P71" s="4">
        <f t="shared" si="8"/>
        <v>3</v>
      </c>
    </row>
    <row r="72" spans="1:16" x14ac:dyDescent="0.25">
      <c r="A72" t="s">
        <v>174</v>
      </c>
      <c r="B72" t="s">
        <v>35</v>
      </c>
      <c r="C72" t="s">
        <v>175</v>
      </c>
      <c r="D72" t="s">
        <v>176</v>
      </c>
      <c r="E72" t="s">
        <v>177</v>
      </c>
      <c r="F72" t="s">
        <v>178</v>
      </c>
      <c r="G72" t="s">
        <v>361</v>
      </c>
      <c r="H72" t="s">
        <v>359</v>
      </c>
      <c r="I72" s="2">
        <v>0.7</v>
      </c>
      <c r="J72" s="2">
        <v>0.7</v>
      </c>
      <c r="K72" s="2">
        <v>0</v>
      </c>
      <c r="L72" s="2">
        <v>0.7</v>
      </c>
      <c r="M72" s="4">
        <f t="shared" si="9"/>
        <v>3</v>
      </c>
      <c r="N72" s="4">
        <f t="shared" si="10"/>
        <v>3</v>
      </c>
      <c r="O72" s="4">
        <f t="shared" si="11"/>
        <v>0</v>
      </c>
      <c r="P72" s="4">
        <f t="shared" si="8"/>
        <v>3</v>
      </c>
    </row>
    <row r="73" spans="1:16" x14ac:dyDescent="0.25">
      <c r="A73" t="s">
        <v>277</v>
      </c>
      <c r="B73" t="s">
        <v>35</v>
      </c>
      <c r="C73" t="s">
        <v>154</v>
      </c>
      <c r="D73" t="s">
        <v>278</v>
      </c>
      <c r="E73" t="s">
        <v>279</v>
      </c>
      <c r="F73" t="s">
        <v>157</v>
      </c>
      <c r="G73" t="s">
        <v>372</v>
      </c>
      <c r="H73" t="s">
        <v>359</v>
      </c>
      <c r="I73" s="2">
        <v>0.7</v>
      </c>
      <c r="J73" s="2">
        <v>0.7</v>
      </c>
      <c r="K73" s="2">
        <v>0</v>
      </c>
      <c r="L73" s="2">
        <v>0.7</v>
      </c>
      <c r="M73" s="4">
        <f t="shared" si="9"/>
        <v>3</v>
      </c>
      <c r="N73" s="4">
        <f t="shared" si="10"/>
        <v>3</v>
      </c>
      <c r="O73" s="4">
        <f t="shared" si="11"/>
        <v>0</v>
      </c>
      <c r="P73" s="4">
        <f t="shared" si="8"/>
        <v>3</v>
      </c>
    </row>
    <row r="74" spans="1:16" x14ac:dyDescent="0.25">
      <c r="A74" t="s">
        <v>262</v>
      </c>
      <c r="B74" t="s">
        <v>35</v>
      </c>
      <c r="C74" t="s">
        <v>263</v>
      </c>
      <c r="D74" t="s">
        <v>264</v>
      </c>
      <c r="E74" t="s">
        <v>208</v>
      </c>
      <c r="F74" t="s">
        <v>265</v>
      </c>
      <c r="G74" t="s">
        <v>372</v>
      </c>
      <c r="H74" t="s">
        <v>373</v>
      </c>
      <c r="I74" s="2">
        <v>0.7</v>
      </c>
      <c r="J74" s="2">
        <v>0.7</v>
      </c>
      <c r="K74" s="2">
        <v>0</v>
      </c>
      <c r="L74" s="2">
        <v>0.7</v>
      </c>
      <c r="M74" s="4">
        <f t="shared" si="9"/>
        <v>3</v>
      </c>
      <c r="N74" s="4">
        <f t="shared" si="10"/>
        <v>3</v>
      </c>
      <c r="O74" s="4">
        <f t="shared" si="11"/>
        <v>0</v>
      </c>
      <c r="P74" s="4">
        <f t="shared" si="8"/>
        <v>3</v>
      </c>
    </row>
    <row r="75" spans="1:16" x14ac:dyDescent="0.25">
      <c r="A75" t="s">
        <v>280</v>
      </c>
      <c r="B75" t="s">
        <v>35</v>
      </c>
      <c r="C75" t="s">
        <v>146</v>
      </c>
      <c r="D75" t="s">
        <v>281</v>
      </c>
      <c r="E75" t="s">
        <v>282</v>
      </c>
      <c r="F75" t="s">
        <v>149</v>
      </c>
      <c r="G75" t="s">
        <v>363</v>
      </c>
      <c r="H75" t="s">
        <v>358</v>
      </c>
      <c r="I75" s="2">
        <v>0.7</v>
      </c>
      <c r="J75" s="2">
        <v>0.7</v>
      </c>
      <c r="K75" s="2">
        <v>0</v>
      </c>
      <c r="L75" s="2">
        <v>0.7</v>
      </c>
      <c r="M75" s="4">
        <f t="shared" si="9"/>
        <v>3</v>
      </c>
      <c r="N75" s="4">
        <f t="shared" si="10"/>
        <v>3</v>
      </c>
      <c r="O75" s="4">
        <f t="shared" si="11"/>
        <v>0</v>
      </c>
      <c r="P75" s="4">
        <f t="shared" si="8"/>
        <v>3</v>
      </c>
    </row>
    <row r="76" spans="1:16" x14ac:dyDescent="0.25">
      <c r="A76" t="s">
        <v>283</v>
      </c>
      <c r="B76" t="s">
        <v>35</v>
      </c>
      <c r="C76" t="s">
        <v>42</v>
      </c>
      <c r="D76" t="s">
        <v>281</v>
      </c>
      <c r="E76" t="s">
        <v>284</v>
      </c>
      <c r="F76" t="s">
        <v>45</v>
      </c>
      <c r="G76" t="s">
        <v>361</v>
      </c>
      <c r="H76" t="s">
        <v>362</v>
      </c>
      <c r="I76" s="2">
        <v>1</v>
      </c>
      <c r="J76" s="2">
        <v>0.35</v>
      </c>
      <c r="K76" s="2">
        <v>0</v>
      </c>
      <c r="L76" s="2">
        <v>0.7</v>
      </c>
      <c r="M76" s="4">
        <f t="shared" si="9"/>
        <v>4</v>
      </c>
      <c r="N76" s="4">
        <f t="shared" si="10"/>
        <v>2</v>
      </c>
      <c r="O76" s="4">
        <f t="shared" si="11"/>
        <v>0</v>
      </c>
      <c r="P76" s="4">
        <f t="shared" ref="P76:P89" si="12">IF(L76=1,4,IF(L76=0.7,3,IF(L76=0.35,2,IF(L76=0.1,1,0))))</f>
        <v>3</v>
      </c>
    </row>
    <row r="77" spans="1:16" x14ac:dyDescent="0.25">
      <c r="A77" t="s">
        <v>292</v>
      </c>
      <c r="B77" t="s">
        <v>35</v>
      </c>
      <c r="C77" t="s">
        <v>293</v>
      </c>
      <c r="D77" t="s">
        <v>294</v>
      </c>
      <c r="E77" t="s">
        <v>295</v>
      </c>
      <c r="F77" t="s">
        <v>296</v>
      </c>
      <c r="G77" t="s">
        <v>372</v>
      </c>
      <c r="H77" t="s">
        <v>373</v>
      </c>
      <c r="I77" s="2">
        <v>0.7</v>
      </c>
      <c r="J77" s="2">
        <v>0.7</v>
      </c>
      <c r="K77" s="2">
        <v>0</v>
      </c>
      <c r="L77" s="2">
        <v>0.7</v>
      </c>
      <c r="M77" s="4">
        <f t="shared" si="9"/>
        <v>3</v>
      </c>
      <c r="N77" s="4">
        <f t="shared" si="10"/>
        <v>3</v>
      </c>
      <c r="O77" s="4">
        <f t="shared" si="11"/>
        <v>0</v>
      </c>
      <c r="P77" s="4">
        <f t="shared" si="12"/>
        <v>3</v>
      </c>
    </row>
    <row r="78" spans="1:16" x14ac:dyDescent="0.25">
      <c r="A78" t="s">
        <v>297</v>
      </c>
      <c r="B78" t="s">
        <v>35</v>
      </c>
      <c r="C78" t="s">
        <v>293</v>
      </c>
      <c r="D78" t="s">
        <v>298</v>
      </c>
      <c r="E78" t="s">
        <v>295</v>
      </c>
      <c r="F78" t="s">
        <v>296</v>
      </c>
      <c r="G78" t="s">
        <v>372</v>
      </c>
      <c r="H78" t="s">
        <v>373</v>
      </c>
      <c r="I78" s="2">
        <v>0.7</v>
      </c>
      <c r="J78" s="2">
        <v>0.7</v>
      </c>
      <c r="K78" s="2">
        <v>0</v>
      </c>
      <c r="L78" s="2">
        <v>0.7</v>
      </c>
      <c r="M78" s="4">
        <f t="shared" si="9"/>
        <v>3</v>
      </c>
      <c r="N78" s="4">
        <f t="shared" si="10"/>
        <v>3</v>
      </c>
      <c r="O78" s="4">
        <f t="shared" si="11"/>
        <v>0</v>
      </c>
      <c r="P78" s="4">
        <f t="shared" si="12"/>
        <v>3</v>
      </c>
    </row>
    <row r="79" spans="1:16" x14ac:dyDescent="0.25">
      <c r="A79" t="s">
        <v>266</v>
      </c>
      <c r="B79" t="s">
        <v>35</v>
      </c>
      <c r="C79" t="s">
        <v>267</v>
      </c>
      <c r="D79" t="s">
        <v>268</v>
      </c>
      <c r="E79" t="s">
        <v>269</v>
      </c>
      <c r="F79" t="s">
        <v>270</v>
      </c>
      <c r="G79" t="s">
        <v>372</v>
      </c>
      <c r="H79" t="s">
        <v>373</v>
      </c>
      <c r="I79" s="2">
        <v>0.7</v>
      </c>
      <c r="J79" s="2">
        <v>0.7</v>
      </c>
      <c r="K79" s="2">
        <v>0.35</v>
      </c>
      <c r="L79" s="2">
        <v>0.7</v>
      </c>
      <c r="M79" s="4">
        <f t="shared" si="9"/>
        <v>3</v>
      </c>
      <c r="N79" s="4">
        <f t="shared" si="10"/>
        <v>3</v>
      </c>
      <c r="O79" s="4">
        <f t="shared" si="11"/>
        <v>2</v>
      </c>
      <c r="P79" s="4">
        <f t="shared" si="12"/>
        <v>3</v>
      </c>
    </row>
    <row r="80" spans="1:16" x14ac:dyDescent="0.25">
      <c r="A80" t="s">
        <v>207</v>
      </c>
      <c r="B80" t="s">
        <v>35</v>
      </c>
      <c r="C80" t="s">
        <v>171</v>
      </c>
      <c r="D80" t="s">
        <v>22</v>
      </c>
      <c r="E80" t="s">
        <v>208</v>
      </c>
      <c r="F80" t="s">
        <v>173</v>
      </c>
      <c r="G80" t="s">
        <v>372</v>
      </c>
      <c r="H80" t="s">
        <v>373</v>
      </c>
      <c r="I80" s="2">
        <v>0.7</v>
      </c>
      <c r="J80" s="2">
        <v>0.7</v>
      </c>
      <c r="K80" s="2">
        <v>0</v>
      </c>
      <c r="L80" s="2">
        <v>0.7</v>
      </c>
      <c r="M80" s="4">
        <f t="shared" si="9"/>
        <v>3</v>
      </c>
      <c r="N80" s="4">
        <f t="shared" si="10"/>
        <v>3</v>
      </c>
      <c r="O80" s="4">
        <f t="shared" si="11"/>
        <v>0</v>
      </c>
      <c r="P80" s="4">
        <f t="shared" si="12"/>
        <v>3</v>
      </c>
    </row>
    <row r="81" spans="1:16" x14ac:dyDescent="0.25">
      <c r="A81" t="s">
        <v>299</v>
      </c>
      <c r="B81" t="s">
        <v>35</v>
      </c>
      <c r="C81" t="s">
        <v>180</v>
      </c>
      <c r="D81" t="s">
        <v>300</v>
      </c>
      <c r="E81" t="s">
        <v>301</v>
      </c>
      <c r="F81" t="s">
        <v>183</v>
      </c>
      <c r="G81" t="s">
        <v>372</v>
      </c>
      <c r="H81" t="s">
        <v>373</v>
      </c>
      <c r="I81" s="2">
        <v>0.7</v>
      </c>
      <c r="J81" s="2">
        <v>0.7</v>
      </c>
      <c r="K81" s="2">
        <v>0</v>
      </c>
      <c r="L81" s="2">
        <v>0.7</v>
      </c>
      <c r="M81" s="4">
        <f t="shared" si="9"/>
        <v>3</v>
      </c>
      <c r="N81" s="4">
        <f t="shared" si="10"/>
        <v>3</v>
      </c>
      <c r="O81" s="4">
        <f t="shared" si="11"/>
        <v>0</v>
      </c>
      <c r="P81" s="4">
        <f t="shared" si="12"/>
        <v>3</v>
      </c>
    </row>
    <row r="82" spans="1:16" x14ac:dyDescent="0.25">
      <c r="A82" t="s">
        <v>322</v>
      </c>
      <c r="B82" t="s">
        <v>35</v>
      </c>
      <c r="C82" t="s">
        <v>288</v>
      </c>
      <c r="D82" t="s">
        <v>323</v>
      </c>
      <c r="E82" t="s">
        <v>324</v>
      </c>
      <c r="F82" t="s">
        <v>291</v>
      </c>
      <c r="G82" t="s">
        <v>374</v>
      </c>
      <c r="H82" t="s">
        <v>371</v>
      </c>
      <c r="I82" s="2">
        <v>0.7</v>
      </c>
      <c r="J82" s="2">
        <v>0.7</v>
      </c>
      <c r="K82" s="2">
        <v>0</v>
      </c>
      <c r="L82" s="2">
        <v>0.7</v>
      </c>
      <c r="M82" s="4">
        <f t="shared" si="9"/>
        <v>3</v>
      </c>
      <c r="N82" s="4">
        <f t="shared" si="10"/>
        <v>3</v>
      </c>
      <c r="O82" s="4">
        <f t="shared" si="11"/>
        <v>0</v>
      </c>
      <c r="P82" s="4">
        <f t="shared" si="12"/>
        <v>3</v>
      </c>
    </row>
    <row r="83" spans="1:16" x14ac:dyDescent="0.25">
      <c r="A83" t="s">
        <v>228</v>
      </c>
      <c r="B83" t="s">
        <v>35</v>
      </c>
      <c r="C83" t="s">
        <v>229</v>
      </c>
      <c r="D83" t="s">
        <v>230</v>
      </c>
      <c r="E83" t="s">
        <v>231</v>
      </c>
      <c r="F83" t="s">
        <v>232</v>
      </c>
      <c r="G83" t="s">
        <v>363</v>
      </c>
      <c r="H83" t="s">
        <v>359</v>
      </c>
      <c r="I83" s="2">
        <v>0.7</v>
      </c>
      <c r="J83" s="2">
        <v>1</v>
      </c>
      <c r="K83" s="2">
        <v>0</v>
      </c>
      <c r="L83" s="2">
        <v>0.35</v>
      </c>
      <c r="M83" s="4">
        <f t="shared" si="9"/>
        <v>3</v>
      </c>
      <c r="N83" s="4">
        <f t="shared" si="10"/>
        <v>4</v>
      </c>
      <c r="O83" s="4">
        <f t="shared" si="11"/>
        <v>0</v>
      </c>
      <c r="P83" s="4">
        <f t="shared" si="12"/>
        <v>2</v>
      </c>
    </row>
    <row r="84" spans="1:16" x14ac:dyDescent="0.25">
      <c r="A84" t="s">
        <v>339</v>
      </c>
      <c r="B84" t="s">
        <v>35</v>
      </c>
      <c r="C84" t="s">
        <v>263</v>
      </c>
      <c r="D84" t="s">
        <v>340</v>
      </c>
      <c r="E84" t="s">
        <v>341</v>
      </c>
      <c r="F84" t="s">
        <v>265</v>
      </c>
      <c r="G84" t="s">
        <v>366</v>
      </c>
      <c r="H84" t="s">
        <v>359</v>
      </c>
      <c r="I84" s="2">
        <v>0.7</v>
      </c>
      <c r="J84" s="2">
        <v>0.35</v>
      </c>
      <c r="K84" s="2">
        <v>0</v>
      </c>
      <c r="L84" s="2">
        <v>0.7</v>
      </c>
      <c r="M84" s="4">
        <f t="shared" si="9"/>
        <v>3</v>
      </c>
      <c r="N84" s="4">
        <f t="shared" si="10"/>
        <v>2</v>
      </c>
      <c r="O84" s="4">
        <f t="shared" si="11"/>
        <v>0</v>
      </c>
      <c r="P84" s="4">
        <f t="shared" si="12"/>
        <v>3</v>
      </c>
    </row>
    <row r="85" spans="1:16" x14ac:dyDescent="0.25">
      <c r="A85" t="s">
        <v>336</v>
      </c>
      <c r="B85" t="s">
        <v>35</v>
      </c>
      <c r="C85" t="s">
        <v>229</v>
      </c>
      <c r="D85" t="s">
        <v>337</v>
      </c>
      <c r="E85" t="s">
        <v>338</v>
      </c>
      <c r="F85" t="s">
        <v>232</v>
      </c>
      <c r="G85" t="s">
        <v>361</v>
      </c>
      <c r="H85" t="s">
        <v>359</v>
      </c>
      <c r="I85" s="2">
        <v>1</v>
      </c>
      <c r="J85" s="2">
        <v>0.35</v>
      </c>
      <c r="K85" s="2">
        <v>0</v>
      </c>
      <c r="L85" s="2">
        <v>0.35</v>
      </c>
      <c r="M85" s="4">
        <f t="shared" si="9"/>
        <v>4</v>
      </c>
      <c r="N85" s="4">
        <f t="shared" si="10"/>
        <v>2</v>
      </c>
      <c r="O85" s="4">
        <f t="shared" si="11"/>
        <v>0</v>
      </c>
      <c r="P85" s="4">
        <f t="shared" si="12"/>
        <v>2</v>
      </c>
    </row>
    <row r="86" spans="1:16" x14ac:dyDescent="0.25">
      <c r="A86" t="s">
        <v>325</v>
      </c>
      <c r="B86" t="s">
        <v>35</v>
      </c>
      <c r="C86" t="s">
        <v>103</v>
      </c>
      <c r="D86" t="s">
        <v>326</v>
      </c>
      <c r="E86" t="s">
        <v>327</v>
      </c>
      <c r="F86" t="s">
        <v>106</v>
      </c>
      <c r="G86" t="s">
        <v>361</v>
      </c>
      <c r="H86" t="s">
        <v>357</v>
      </c>
      <c r="I86" s="2">
        <v>0.7</v>
      </c>
      <c r="J86" s="2">
        <v>1</v>
      </c>
      <c r="K86" s="2">
        <v>0</v>
      </c>
      <c r="L86" s="2">
        <v>0.35</v>
      </c>
      <c r="M86" s="4">
        <f t="shared" si="9"/>
        <v>3</v>
      </c>
      <c r="N86" s="4">
        <f t="shared" si="10"/>
        <v>4</v>
      </c>
      <c r="O86" s="4">
        <f t="shared" si="11"/>
        <v>0</v>
      </c>
      <c r="P86" s="4">
        <f t="shared" si="12"/>
        <v>2</v>
      </c>
    </row>
    <row r="87" spans="1:16" x14ac:dyDescent="0.25">
      <c r="A87" t="s">
        <v>328</v>
      </c>
      <c r="B87" t="s">
        <v>35</v>
      </c>
      <c r="C87" t="s">
        <v>329</v>
      </c>
      <c r="D87" t="s">
        <v>330</v>
      </c>
      <c r="E87" t="s">
        <v>331</v>
      </c>
      <c r="F87" t="s">
        <v>332</v>
      </c>
      <c r="G87" t="s">
        <v>361</v>
      </c>
      <c r="H87" t="s">
        <v>359</v>
      </c>
      <c r="I87" s="2">
        <v>0.35</v>
      </c>
      <c r="J87" s="2">
        <v>0.7</v>
      </c>
      <c r="K87" s="2">
        <v>0</v>
      </c>
      <c r="L87" s="2">
        <v>0.35</v>
      </c>
      <c r="M87" s="4">
        <f t="shared" si="9"/>
        <v>2</v>
      </c>
      <c r="N87" s="4">
        <f t="shared" si="10"/>
        <v>3</v>
      </c>
      <c r="O87" s="4">
        <f t="shared" si="11"/>
        <v>0</v>
      </c>
      <c r="P87" s="4">
        <f t="shared" si="12"/>
        <v>2</v>
      </c>
    </row>
    <row r="88" spans="1:16" x14ac:dyDescent="0.25">
      <c r="A88" t="s">
        <v>333</v>
      </c>
      <c r="B88" t="s">
        <v>35</v>
      </c>
      <c r="C88" t="s">
        <v>64</v>
      </c>
      <c r="D88" t="s">
        <v>334</v>
      </c>
      <c r="E88" t="s">
        <v>335</v>
      </c>
      <c r="F88" t="s">
        <v>67</v>
      </c>
      <c r="G88" t="s">
        <v>372</v>
      </c>
      <c r="H88" t="s">
        <v>373</v>
      </c>
      <c r="I88" s="2">
        <v>0.35</v>
      </c>
      <c r="J88" s="2">
        <v>0.7</v>
      </c>
      <c r="K88" s="2">
        <v>0</v>
      </c>
      <c r="L88" s="2">
        <v>0.35</v>
      </c>
      <c r="M88" s="4">
        <f t="shared" si="9"/>
        <v>2</v>
      </c>
      <c r="N88" s="4">
        <f t="shared" si="10"/>
        <v>3</v>
      </c>
      <c r="O88" s="4">
        <f t="shared" si="11"/>
        <v>0</v>
      </c>
      <c r="P88" s="4">
        <f t="shared" si="12"/>
        <v>2</v>
      </c>
    </row>
    <row r="89" spans="1:16" x14ac:dyDescent="0.25">
      <c r="A89" t="s">
        <v>342</v>
      </c>
      <c r="B89" t="s">
        <v>35</v>
      </c>
      <c r="C89" t="s">
        <v>343</v>
      </c>
      <c r="D89" t="s">
        <v>140</v>
      </c>
      <c r="E89" t="s">
        <v>344</v>
      </c>
      <c r="F89" t="s">
        <v>345</v>
      </c>
      <c r="G89" t="s">
        <v>372</v>
      </c>
      <c r="H89" t="s">
        <v>359</v>
      </c>
      <c r="I89" s="2">
        <v>0.35</v>
      </c>
      <c r="J89" s="2">
        <v>0.7</v>
      </c>
      <c r="K89" s="2">
        <v>0</v>
      </c>
      <c r="L89" s="2">
        <v>0.35</v>
      </c>
      <c r="M89" s="4">
        <f t="shared" si="9"/>
        <v>2</v>
      </c>
      <c r="N89" s="4">
        <f t="shared" si="10"/>
        <v>3</v>
      </c>
      <c r="O89" s="4">
        <f t="shared" si="11"/>
        <v>0</v>
      </c>
      <c r="P89" s="4">
        <f t="shared" si="12"/>
        <v>2</v>
      </c>
    </row>
    <row r="90" spans="1:16" x14ac:dyDescent="0.25">
      <c r="A90" t="s">
        <v>271</v>
      </c>
      <c r="B90" t="s">
        <v>35</v>
      </c>
      <c r="C90" t="s">
        <v>272</v>
      </c>
      <c r="D90" t="s">
        <v>31</v>
      </c>
      <c r="E90" t="s">
        <v>273</v>
      </c>
      <c r="F90" t="s">
        <v>274</v>
      </c>
      <c r="G90" t="s">
        <v>361</v>
      </c>
      <c r="H90" t="s">
        <v>359</v>
      </c>
      <c r="I90" s="2">
        <v>0.35</v>
      </c>
      <c r="J90" s="2">
        <v>0.35</v>
      </c>
      <c r="K90" s="2">
        <v>0</v>
      </c>
      <c r="L90" s="2">
        <v>0.35</v>
      </c>
      <c r="M90" s="4">
        <f t="shared" si="9"/>
        <v>2</v>
      </c>
      <c r="N90" s="4">
        <f t="shared" si="10"/>
        <v>2</v>
      </c>
      <c r="O90" s="4">
        <f t="shared" si="11"/>
        <v>0</v>
      </c>
      <c r="P90" s="4">
        <f t="shared" ref="P90:P91" si="13">IF(L90=1,4,IF(L90=0.7,3,IF(L90=0.35,2,IF(L90=0.1,1,0))))</f>
        <v>2</v>
      </c>
    </row>
    <row r="91" spans="1:16" x14ac:dyDescent="0.25">
      <c r="A91" t="s">
        <v>349</v>
      </c>
      <c r="B91" t="s">
        <v>35</v>
      </c>
      <c r="C91" t="s">
        <v>350</v>
      </c>
      <c r="D91" t="s">
        <v>351</v>
      </c>
      <c r="E91" t="s">
        <v>208</v>
      </c>
      <c r="F91" t="s">
        <v>352</v>
      </c>
      <c r="G91" t="s">
        <v>372</v>
      </c>
      <c r="H91" t="s">
        <v>373</v>
      </c>
      <c r="I91" s="2">
        <v>0.35</v>
      </c>
      <c r="J91" s="2">
        <v>0.1</v>
      </c>
      <c r="K91" s="2">
        <v>0</v>
      </c>
      <c r="L91" s="2">
        <v>0.35</v>
      </c>
      <c r="M91" s="4">
        <f t="shared" si="9"/>
        <v>2</v>
      </c>
      <c r="N91" s="4">
        <f t="shared" si="10"/>
        <v>1</v>
      </c>
      <c r="O91" s="4">
        <f t="shared" si="11"/>
        <v>0</v>
      </c>
      <c r="P91" s="4">
        <f t="shared" si="13"/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1"/>
  <sheetViews>
    <sheetView workbookViewId="0">
      <selection activeCell="G1" sqref="G1:H1"/>
    </sheetView>
  </sheetViews>
  <sheetFormatPr defaultColWidth="26.28515625" defaultRowHeight="15" x14ac:dyDescent="0.25"/>
  <cols>
    <col min="1" max="1" width="12.5703125" bestFit="1" customWidth="1"/>
    <col min="2" max="2" width="10.5703125" bestFit="1" customWidth="1"/>
    <col min="3" max="3" width="7.5703125" bestFit="1" customWidth="1"/>
    <col min="4" max="4" width="6.140625" bestFit="1" customWidth="1"/>
    <col min="5" max="5" width="68.28515625" bestFit="1" customWidth="1"/>
    <col min="6" max="6" width="48" bestFit="1" customWidth="1"/>
    <col min="7" max="7" width="26.7109375" bestFit="1" customWidth="1"/>
    <col min="8" max="8" width="35" bestFit="1" customWidth="1"/>
    <col min="9" max="12" width="17.7109375" customWidth="1"/>
    <col min="13" max="16" width="10.7109375" customWidth="1"/>
  </cols>
  <sheetData>
    <row r="1" spans="1:16" x14ac:dyDescent="0.25">
      <c r="A1" s="6" t="s">
        <v>353</v>
      </c>
      <c r="B1" s="6" t="s">
        <v>354</v>
      </c>
      <c r="C1" s="6" t="s">
        <v>32</v>
      </c>
      <c r="D1" s="6" t="s">
        <v>9</v>
      </c>
      <c r="E1" s="6" t="s">
        <v>33</v>
      </c>
      <c r="F1" s="6" t="s">
        <v>34</v>
      </c>
      <c r="G1" s="6" t="s">
        <v>355</v>
      </c>
      <c r="H1" s="6" t="s">
        <v>356</v>
      </c>
      <c r="I1" s="1" t="s">
        <v>0</v>
      </c>
      <c r="J1" s="1" t="s">
        <v>1</v>
      </c>
      <c r="K1" s="1" t="s">
        <v>2</v>
      </c>
      <c r="L1" s="1" t="s">
        <v>3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 x14ac:dyDescent="0.25">
      <c r="A2" t="s">
        <v>167</v>
      </c>
      <c r="B2" t="s">
        <v>35</v>
      </c>
      <c r="C2" t="s">
        <v>37</v>
      </c>
      <c r="D2" t="s">
        <v>168</v>
      </c>
      <c r="E2" t="s">
        <v>169</v>
      </c>
      <c r="F2" t="s">
        <v>40</v>
      </c>
      <c r="G2" t="s">
        <v>363</v>
      </c>
      <c r="H2" t="s">
        <v>357</v>
      </c>
      <c r="I2" s="2">
        <v>1</v>
      </c>
      <c r="J2" s="2">
        <v>1</v>
      </c>
      <c r="K2" s="2">
        <v>0</v>
      </c>
      <c r="L2" s="2">
        <v>1</v>
      </c>
      <c r="M2" s="4">
        <f t="shared" ref="M2:M33" si="0">IF(I2=1,4,IF(I2=0.7,3,IF(I2=0.35,2,IF(I2=0.1,1,0))))</f>
        <v>4</v>
      </c>
      <c r="N2" s="4">
        <f t="shared" ref="N2:N33" si="1">IF(J2=1,4,IF(J2=0.7,3,IF(J2=0.35,2,IF(J2=0.1,1,0))))</f>
        <v>4</v>
      </c>
      <c r="O2" s="4">
        <f t="shared" ref="O2:O33" si="2">IF(K2=1,4,IF(K2=0.7,3,IF(K2=0.35,2,IF(K2=0.1,1,0))))</f>
        <v>0</v>
      </c>
      <c r="P2" s="4">
        <f t="shared" ref="P2:P30" si="3">IF(L2=1,4,IF(L2=0.7,3,IF(L2=0.35,2,IF(L2=0.1,1,0))))</f>
        <v>4</v>
      </c>
    </row>
    <row r="3" spans="1:16" x14ac:dyDescent="0.25">
      <c r="A3" t="s">
        <v>129</v>
      </c>
      <c r="B3" t="s">
        <v>35</v>
      </c>
      <c r="C3" t="s">
        <v>130</v>
      </c>
      <c r="D3" t="s">
        <v>131</v>
      </c>
      <c r="E3" t="s">
        <v>132</v>
      </c>
      <c r="F3" t="s">
        <v>133</v>
      </c>
      <c r="G3" t="s">
        <v>364</v>
      </c>
      <c r="H3" t="s">
        <v>359</v>
      </c>
      <c r="I3" s="2">
        <v>1</v>
      </c>
      <c r="J3" s="2">
        <v>1</v>
      </c>
      <c r="K3" s="2">
        <v>0.35</v>
      </c>
      <c r="L3" s="2">
        <v>1</v>
      </c>
      <c r="M3" s="4">
        <f t="shared" si="0"/>
        <v>4</v>
      </c>
      <c r="N3" s="4">
        <f t="shared" si="1"/>
        <v>4</v>
      </c>
      <c r="O3" s="4">
        <f t="shared" si="2"/>
        <v>2</v>
      </c>
      <c r="P3" s="4">
        <f t="shared" si="3"/>
        <v>4</v>
      </c>
    </row>
    <row r="4" spans="1:16" x14ac:dyDescent="0.25">
      <c r="A4" t="s">
        <v>36</v>
      </c>
      <c r="B4" t="s">
        <v>35</v>
      </c>
      <c r="C4" t="s">
        <v>37</v>
      </c>
      <c r="D4" t="s">
        <v>38</v>
      </c>
      <c r="E4" t="s">
        <v>39</v>
      </c>
      <c r="F4" t="s">
        <v>40</v>
      </c>
      <c r="G4" t="s">
        <v>360</v>
      </c>
      <c r="H4" t="s">
        <v>357</v>
      </c>
      <c r="I4" s="2">
        <v>1</v>
      </c>
      <c r="J4" s="2">
        <v>1</v>
      </c>
      <c r="K4" s="2">
        <v>0</v>
      </c>
      <c r="L4" s="2">
        <v>1</v>
      </c>
      <c r="M4" s="4">
        <f t="shared" si="0"/>
        <v>4</v>
      </c>
      <c r="N4" s="4">
        <f t="shared" si="1"/>
        <v>4</v>
      </c>
      <c r="O4" s="4">
        <f t="shared" si="2"/>
        <v>0</v>
      </c>
      <c r="P4" s="4">
        <f t="shared" si="3"/>
        <v>4</v>
      </c>
    </row>
    <row r="5" spans="1:16" x14ac:dyDescent="0.25">
      <c r="A5" t="s">
        <v>41</v>
      </c>
      <c r="B5" t="s">
        <v>35</v>
      </c>
      <c r="C5" t="s">
        <v>42</v>
      </c>
      <c r="D5" t="s">
        <v>43</v>
      </c>
      <c r="E5" t="s">
        <v>44</v>
      </c>
      <c r="F5" t="s">
        <v>45</v>
      </c>
      <c r="G5" t="s">
        <v>360</v>
      </c>
      <c r="H5" t="s">
        <v>359</v>
      </c>
      <c r="I5" s="2">
        <v>1</v>
      </c>
      <c r="J5" s="2">
        <v>1</v>
      </c>
      <c r="K5" s="2">
        <v>0</v>
      </c>
      <c r="L5" s="2">
        <v>1</v>
      </c>
      <c r="M5" s="4">
        <f t="shared" si="0"/>
        <v>4</v>
      </c>
      <c r="N5" s="4">
        <f t="shared" si="1"/>
        <v>4</v>
      </c>
      <c r="O5" s="4">
        <f t="shared" si="2"/>
        <v>0</v>
      </c>
      <c r="P5" s="4">
        <f t="shared" si="3"/>
        <v>4</v>
      </c>
    </row>
    <row r="6" spans="1:16" x14ac:dyDescent="0.25">
      <c r="A6" t="s">
        <v>46</v>
      </c>
      <c r="B6" t="s">
        <v>35</v>
      </c>
      <c r="C6" t="s">
        <v>47</v>
      </c>
      <c r="D6" t="s">
        <v>48</v>
      </c>
      <c r="E6" t="s">
        <v>49</v>
      </c>
      <c r="F6" t="s">
        <v>50</v>
      </c>
      <c r="G6" t="s">
        <v>361</v>
      </c>
      <c r="H6" t="s">
        <v>359</v>
      </c>
      <c r="I6" s="2">
        <v>1</v>
      </c>
      <c r="J6" s="2">
        <v>1</v>
      </c>
      <c r="K6" s="2">
        <v>0</v>
      </c>
      <c r="L6" s="2">
        <v>1</v>
      </c>
      <c r="M6" s="4">
        <f t="shared" si="0"/>
        <v>4</v>
      </c>
      <c r="N6" s="4">
        <f t="shared" si="1"/>
        <v>4</v>
      </c>
      <c r="O6" s="4">
        <f t="shared" si="2"/>
        <v>0</v>
      </c>
      <c r="P6" s="4">
        <f t="shared" si="3"/>
        <v>4</v>
      </c>
    </row>
    <row r="7" spans="1:16" x14ac:dyDescent="0.25">
      <c r="A7" t="s">
        <v>51</v>
      </c>
      <c r="B7" t="s">
        <v>35</v>
      </c>
      <c r="C7" t="s">
        <v>37</v>
      </c>
      <c r="D7" t="s">
        <v>52</v>
      </c>
      <c r="E7" t="s">
        <v>53</v>
      </c>
      <c r="F7" t="s">
        <v>40</v>
      </c>
      <c r="G7" t="s">
        <v>360</v>
      </c>
      <c r="H7" t="s">
        <v>357</v>
      </c>
      <c r="I7" s="2">
        <v>1</v>
      </c>
      <c r="J7" s="2">
        <v>1</v>
      </c>
      <c r="K7" s="2">
        <v>0</v>
      </c>
      <c r="L7" s="2">
        <v>1</v>
      </c>
      <c r="M7" s="4">
        <f t="shared" si="0"/>
        <v>4</v>
      </c>
      <c r="N7" s="4">
        <f t="shared" si="1"/>
        <v>4</v>
      </c>
      <c r="O7" s="4">
        <f t="shared" si="2"/>
        <v>0</v>
      </c>
      <c r="P7" s="4">
        <f t="shared" si="3"/>
        <v>4</v>
      </c>
    </row>
    <row r="8" spans="1:16" x14ac:dyDescent="0.25">
      <c r="A8" t="s">
        <v>68</v>
      </c>
      <c r="B8" t="s">
        <v>35</v>
      </c>
      <c r="C8" t="s">
        <v>69</v>
      </c>
      <c r="D8" t="s">
        <v>70</v>
      </c>
      <c r="E8" t="s">
        <v>71</v>
      </c>
      <c r="F8" t="s">
        <v>72</v>
      </c>
      <c r="G8" t="s">
        <v>364</v>
      </c>
      <c r="H8" t="s">
        <v>365</v>
      </c>
      <c r="I8" s="2">
        <v>1</v>
      </c>
      <c r="J8" s="2">
        <v>1</v>
      </c>
      <c r="K8" s="2">
        <v>0.1</v>
      </c>
      <c r="L8" s="2">
        <v>1</v>
      </c>
      <c r="M8" s="4">
        <f t="shared" si="0"/>
        <v>4</v>
      </c>
      <c r="N8" s="4">
        <f t="shared" si="1"/>
        <v>4</v>
      </c>
      <c r="O8" s="4">
        <f t="shared" si="2"/>
        <v>1</v>
      </c>
      <c r="P8" s="4">
        <f t="shared" si="3"/>
        <v>4</v>
      </c>
    </row>
    <row r="9" spans="1:16" x14ac:dyDescent="0.25">
      <c r="A9" t="s">
        <v>54</v>
      </c>
      <c r="B9" t="s">
        <v>35</v>
      </c>
      <c r="C9" t="s">
        <v>42</v>
      </c>
      <c r="D9" t="s">
        <v>55</v>
      </c>
      <c r="E9" t="s">
        <v>56</v>
      </c>
      <c r="F9" t="s">
        <v>45</v>
      </c>
      <c r="G9" t="s">
        <v>360</v>
      </c>
      <c r="H9" t="s">
        <v>362</v>
      </c>
      <c r="I9" s="2">
        <v>1</v>
      </c>
      <c r="J9" s="2">
        <v>1</v>
      </c>
      <c r="K9" s="2">
        <v>0.1</v>
      </c>
      <c r="L9" s="2">
        <v>1</v>
      </c>
      <c r="M9" s="4">
        <f t="shared" si="0"/>
        <v>4</v>
      </c>
      <c r="N9" s="4">
        <f t="shared" si="1"/>
        <v>4</v>
      </c>
      <c r="O9" s="4">
        <f t="shared" si="2"/>
        <v>1</v>
      </c>
      <c r="P9" s="4">
        <f t="shared" si="3"/>
        <v>4</v>
      </c>
    </row>
    <row r="10" spans="1:16" x14ac:dyDescent="0.25">
      <c r="A10" t="s">
        <v>57</v>
      </c>
      <c r="B10" t="s">
        <v>35</v>
      </c>
      <c r="C10" t="s">
        <v>42</v>
      </c>
      <c r="D10" t="s">
        <v>58</v>
      </c>
      <c r="E10" t="s">
        <v>59</v>
      </c>
      <c r="F10" t="s">
        <v>45</v>
      </c>
      <c r="G10" t="s">
        <v>360</v>
      </c>
      <c r="H10" t="s">
        <v>359</v>
      </c>
      <c r="I10" s="2">
        <v>1</v>
      </c>
      <c r="J10" s="2">
        <v>1</v>
      </c>
      <c r="K10" s="2">
        <v>0.1</v>
      </c>
      <c r="L10" s="2">
        <v>1</v>
      </c>
      <c r="M10" s="4">
        <f t="shared" si="0"/>
        <v>4</v>
      </c>
      <c r="N10" s="4">
        <f t="shared" si="1"/>
        <v>4</v>
      </c>
      <c r="O10" s="4">
        <f t="shared" si="2"/>
        <v>1</v>
      </c>
      <c r="P10" s="4">
        <f t="shared" si="3"/>
        <v>4</v>
      </c>
    </row>
    <row r="11" spans="1:16" x14ac:dyDescent="0.25">
      <c r="A11" t="s">
        <v>60</v>
      </c>
      <c r="B11" t="s">
        <v>35</v>
      </c>
      <c r="C11" t="s">
        <v>42</v>
      </c>
      <c r="D11" t="s">
        <v>61</v>
      </c>
      <c r="E11" t="s">
        <v>62</v>
      </c>
      <c r="F11" t="s">
        <v>45</v>
      </c>
      <c r="G11" t="s">
        <v>360</v>
      </c>
      <c r="H11" t="s">
        <v>359</v>
      </c>
      <c r="I11" s="2">
        <v>1</v>
      </c>
      <c r="J11" s="2">
        <v>1</v>
      </c>
      <c r="K11" s="2">
        <v>0.1</v>
      </c>
      <c r="L11" s="2">
        <v>1</v>
      </c>
      <c r="M11" s="4">
        <f t="shared" si="0"/>
        <v>4</v>
      </c>
      <c r="N11" s="4">
        <f t="shared" si="1"/>
        <v>4</v>
      </c>
      <c r="O11" s="4">
        <f t="shared" si="2"/>
        <v>1</v>
      </c>
      <c r="P11" s="4">
        <f t="shared" si="3"/>
        <v>4</v>
      </c>
    </row>
    <row r="12" spans="1:16" x14ac:dyDescent="0.25">
      <c r="A12" t="s">
        <v>63</v>
      </c>
      <c r="B12" t="s">
        <v>35</v>
      </c>
      <c r="C12" t="s">
        <v>64</v>
      </c>
      <c r="D12" t="s">
        <v>65</v>
      </c>
      <c r="E12" t="s">
        <v>66</v>
      </c>
      <c r="F12" t="s">
        <v>67</v>
      </c>
      <c r="G12" t="s">
        <v>363</v>
      </c>
      <c r="H12" t="s">
        <v>362</v>
      </c>
      <c r="I12" s="2">
        <v>1</v>
      </c>
      <c r="J12" s="2">
        <v>1</v>
      </c>
      <c r="K12" s="2">
        <v>0</v>
      </c>
      <c r="L12" s="2">
        <v>1</v>
      </c>
      <c r="M12" s="4">
        <f t="shared" si="0"/>
        <v>4</v>
      </c>
      <c r="N12" s="4">
        <f t="shared" si="1"/>
        <v>4</v>
      </c>
      <c r="O12" s="4">
        <f t="shared" si="2"/>
        <v>0</v>
      </c>
      <c r="P12" s="4">
        <f t="shared" si="3"/>
        <v>4</v>
      </c>
    </row>
    <row r="13" spans="1:16" x14ac:dyDescent="0.25">
      <c r="A13" t="s">
        <v>73</v>
      </c>
      <c r="B13" t="s">
        <v>35</v>
      </c>
      <c r="C13" t="s">
        <v>74</v>
      </c>
      <c r="D13" t="s">
        <v>75</v>
      </c>
      <c r="E13" t="s">
        <v>76</v>
      </c>
      <c r="F13" t="s">
        <v>77</v>
      </c>
      <c r="G13" t="s">
        <v>360</v>
      </c>
      <c r="H13" t="s">
        <v>357</v>
      </c>
      <c r="I13" s="2">
        <v>1</v>
      </c>
      <c r="J13" s="2">
        <v>1</v>
      </c>
      <c r="K13" s="2">
        <v>0</v>
      </c>
      <c r="L13" s="2">
        <v>1</v>
      </c>
      <c r="M13" s="4">
        <f t="shared" si="0"/>
        <v>4</v>
      </c>
      <c r="N13" s="4">
        <f t="shared" si="1"/>
        <v>4</v>
      </c>
      <c r="O13" s="4">
        <f t="shared" si="2"/>
        <v>0</v>
      </c>
      <c r="P13" s="4">
        <f t="shared" si="3"/>
        <v>4</v>
      </c>
    </row>
    <row r="14" spans="1:16" x14ac:dyDescent="0.25">
      <c r="A14" t="s">
        <v>145</v>
      </c>
      <c r="B14" t="s">
        <v>35</v>
      </c>
      <c r="C14" t="s">
        <v>146</v>
      </c>
      <c r="D14" t="s">
        <v>147</v>
      </c>
      <c r="E14" t="s">
        <v>148</v>
      </c>
      <c r="F14" t="s">
        <v>149</v>
      </c>
      <c r="G14" t="s">
        <v>366</v>
      </c>
      <c r="H14" t="s">
        <v>359</v>
      </c>
      <c r="I14" s="2">
        <v>1</v>
      </c>
      <c r="J14" s="2">
        <v>1</v>
      </c>
      <c r="K14" s="2">
        <v>0</v>
      </c>
      <c r="L14" s="2">
        <v>1</v>
      </c>
      <c r="M14" s="4">
        <f t="shared" si="0"/>
        <v>4</v>
      </c>
      <c r="N14" s="4">
        <f t="shared" si="1"/>
        <v>4</v>
      </c>
      <c r="O14" s="4">
        <f t="shared" si="2"/>
        <v>0</v>
      </c>
      <c r="P14" s="4">
        <f t="shared" si="3"/>
        <v>4</v>
      </c>
    </row>
    <row r="15" spans="1:16" x14ac:dyDescent="0.25">
      <c r="A15" t="s">
        <v>150</v>
      </c>
      <c r="B15" t="s">
        <v>35</v>
      </c>
      <c r="C15" t="s">
        <v>37</v>
      </c>
      <c r="D15" t="s">
        <v>151</v>
      </c>
      <c r="E15" t="s">
        <v>152</v>
      </c>
      <c r="F15" t="s">
        <v>40</v>
      </c>
      <c r="G15" t="s">
        <v>370</v>
      </c>
      <c r="H15" t="s">
        <v>358</v>
      </c>
      <c r="I15" s="2">
        <v>1</v>
      </c>
      <c r="J15" s="2">
        <v>1</v>
      </c>
      <c r="K15" s="2">
        <v>0</v>
      </c>
      <c r="L15" s="2">
        <v>1</v>
      </c>
      <c r="M15" s="4">
        <f t="shared" si="0"/>
        <v>4</v>
      </c>
      <c r="N15" s="4">
        <f t="shared" si="1"/>
        <v>4</v>
      </c>
      <c r="O15" s="4">
        <f t="shared" si="2"/>
        <v>0</v>
      </c>
      <c r="P15" s="4">
        <f t="shared" si="3"/>
        <v>4</v>
      </c>
    </row>
    <row r="16" spans="1:16" x14ac:dyDescent="0.25">
      <c r="A16" t="s">
        <v>84</v>
      </c>
      <c r="B16" t="s">
        <v>35</v>
      </c>
      <c r="C16" t="s">
        <v>85</v>
      </c>
      <c r="D16" t="s">
        <v>14</v>
      </c>
      <c r="E16" t="s">
        <v>86</v>
      </c>
      <c r="F16" t="s">
        <v>87</v>
      </c>
      <c r="G16" t="s">
        <v>363</v>
      </c>
      <c r="H16" t="s">
        <v>367</v>
      </c>
      <c r="I16" s="2">
        <v>1</v>
      </c>
      <c r="J16" s="2">
        <v>1</v>
      </c>
      <c r="K16" s="2">
        <v>0</v>
      </c>
      <c r="L16" s="2">
        <v>1</v>
      </c>
      <c r="M16" s="4">
        <f t="shared" si="0"/>
        <v>4</v>
      </c>
      <c r="N16" s="4">
        <f t="shared" si="1"/>
        <v>4</v>
      </c>
      <c r="O16" s="4">
        <f t="shared" si="2"/>
        <v>0</v>
      </c>
      <c r="P16" s="4">
        <f t="shared" si="3"/>
        <v>4</v>
      </c>
    </row>
    <row r="17" spans="1:16" x14ac:dyDescent="0.25">
      <c r="A17" t="s">
        <v>88</v>
      </c>
      <c r="B17" t="s">
        <v>35</v>
      </c>
      <c r="C17" t="s">
        <v>64</v>
      </c>
      <c r="D17" t="s">
        <v>27</v>
      </c>
      <c r="E17" t="s">
        <v>89</v>
      </c>
      <c r="F17" t="s">
        <v>67</v>
      </c>
      <c r="G17" t="s">
        <v>360</v>
      </c>
      <c r="H17" t="s">
        <v>362</v>
      </c>
      <c r="I17" s="2">
        <v>1</v>
      </c>
      <c r="J17" s="2">
        <v>1</v>
      </c>
      <c r="K17" s="2">
        <v>0</v>
      </c>
      <c r="L17" s="2">
        <v>1</v>
      </c>
      <c r="M17" s="4">
        <f t="shared" si="0"/>
        <v>4</v>
      </c>
      <c r="N17" s="4">
        <f t="shared" si="1"/>
        <v>4</v>
      </c>
      <c r="O17" s="4">
        <f t="shared" si="2"/>
        <v>0</v>
      </c>
      <c r="P17" s="4">
        <f t="shared" si="3"/>
        <v>4</v>
      </c>
    </row>
    <row r="18" spans="1:16" x14ac:dyDescent="0.25">
      <c r="A18" t="s">
        <v>222</v>
      </c>
      <c r="B18" t="s">
        <v>35</v>
      </c>
      <c r="C18" t="s">
        <v>130</v>
      </c>
      <c r="D18" t="s">
        <v>223</v>
      </c>
      <c r="E18" t="s">
        <v>224</v>
      </c>
      <c r="F18" t="s">
        <v>133</v>
      </c>
      <c r="G18" t="s">
        <v>372</v>
      </c>
      <c r="H18" t="s">
        <v>373</v>
      </c>
      <c r="I18" s="2">
        <v>1</v>
      </c>
      <c r="J18" s="2">
        <v>1</v>
      </c>
      <c r="K18" s="2">
        <v>0.35</v>
      </c>
      <c r="L18" s="2">
        <v>1</v>
      </c>
      <c r="M18" s="4">
        <f t="shared" si="0"/>
        <v>4</v>
      </c>
      <c r="N18" s="4">
        <f t="shared" si="1"/>
        <v>4</v>
      </c>
      <c r="O18" s="4">
        <f t="shared" si="2"/>
        <v>2</v>
      </c>
      <c r="P18" s="4">
        <f t="shared" si="3"/>
        <v>4</v>
      </c>
    </row>
    <row r="19" spans="1:16" x14ac:dyDescent="0.25">
      <c r="A19" t="s">
        <v>116</v>
      </c>
      <c r="B19" t="s">
        <v>35</v>
      </c>
      <c r="C19" t="s">
        <v>117</v>
      </c>
      <c r="D19" t="s">
        <v>118</v>
      </c>
      <c r="E19" t="s">
        <v>119</v>
      </c>
      <c r="F19" t="s">
        <v>120</v>
      </c>
      <c r="G19" t="s">
        <v>364</v>
      </c>
      <c r="H19" t="s">
        <v>362</v>
      </c>
      <c r="I19" s="2">
        <v>1</v>
      </c>
      <c r="J19" s="2">
        <v>1</v>
      </c>
      <c r="K19" s="2">
        <v>0</v>
      </c>
      <c r="L19" s="2">
        <v>1</v>
      </c>
      <c r="M19" s="4">
        <f t="shared" si="0"/>
        <v>4</v>
      </c>
      <c r="N19" s="4">
        <f t="shared" si="1"/>
        <v>4</v>
      </c>
      <c r="O19" s="4">
        <f t="shared" si="2"/>
        <v>0</v>
      </c>
      <c r="P19" s="4">
        <f t="shared" si="3"/>
        <v>4</v>
      </c>
    </row>
    <row r="20" spans="1:16" x14ac:dyDescent="0.25">
      <c r="A20" t="s">
        <v>90</v>
      </c>
      <c r="B20" t="s">
        <v>35</v>
      </c>
      <c r="C20" t="s">
        <v>91</v>
      </c>
      <c r="D20" t="s">
        <v>92</v>
      </c>
      <c r="E20" t="s">
        <v>93</v>
      </c>
      <c r="F20" t="s">
        <v>94</v>
      </c>
      <c r="G20" t="s">
        <v>364</v>
      </c>
      <c r="H20" t="s">
        <v>367</v>
      </c>
      <c r="I20" s="2">
        <v>1</v>
      </c>
      <c r="J20" s="2">
        <v>1</v>
      </c>
      <c r="K20" s="2">
        <v>0</v>
      </c>
      <c r="L20" s="2">
        <v>1</v>
      </c>
      <c r="M20" s="4">
        <f t="shared" si="0"/>
        <v>4</v>
      </c>
      <c r="N20" s="4">
        <f t="shared" si="1"/>
        <v>4</v>
      </c>
      <c r="O20" s="4">
        <f t="shared" si="2"/>
        <v>0</v>
      </c>
      <c r="P20" s="4">
        <f t="shared" si="3"/>
        <v>4</v>
      </c>
    </row>
    <row r="21" spans="1:16" x14ac:dyDescent="0.25">
      <c r="A21" t="s">
        <v>95</v>
      </c>
      <c r="B21" t="s">
        <v>35</v>
      </c>
      <c r="C21" t="s">
        <v>37</v>
      </c>
      <c r="D21" t="s">
        <v>96</v>
      </c>
      <c r="E21" t="s">
        <v>97</v>
      </c>
      <c r="F21" t="s">
        <v>40</v>
      </c>
      <c r="G21" t="s">
        <v>368</v>
      </c>
      <c r="H21" t="s">
        <v>357</v>
      </c>
      <c r="I21" s="2">
        <v>1</v>
      </c>
      <c r="J21" s="2">
        <v>1</v>
      </c>
      <c r="K21" s="2">
        <v>0</v>
      </c>
      <c r="L21" s="2">
        <v>1</v>
      </c>
      <c r="M21" s="4">
        <f t="shared" si="0"/>
        <v>4</v>
      </c>
      <c r="N21" s="4">
        <f t="shared" si="1"/>
        <v>4</v>
      </c>
      <c r="O21" s="4">
        <f t="shared" si="2"/>
        <v>0</v>
      </c>
      <c r="P21" s="4">
        <f t="shared" si="3"/>
        <v>4</v>
      </c>
    </row>
    <row r="22" spans="1:16" x14ac:dyDescent="0.25">
      <c r="A22" t="s">
        <v>161</v>
      </c>
      <c r="B22" t="s">
        <v>35</v>
      </c>
      <c r="C22" t="s">
        <v>110</v>
      </c>
      <c r="D22" t="s">
        <v>19</v>
      </c>
      <c r="E22" t="s">
        <v>162</v>
      </c>
      <c r="F22" t="s">
        <v>112</v>
      </c>
      <c r="G22" t="s">
        <v>369</v>
      </c>
      <c r="H22" t="s">
        <v>359</v>
      </c>
      <c r="I22" s="2">
        <v>1</v>
      </c>
      <c r="J22" s="2">
        <v>1</v>
      </c>
      <c r="K22" s="2">
        <v>0</v>
      </c>
      <c r="L22" s="2">
        <v>1</v>
      </c>
      <c r="M22" s="4">
        <f t="shared" si="0"/>
        <v>4</v>
      </c>
      <c r="N22" s="4">
        <f t="shared" si="1"/>
        <v>4</v>
      </c>
      <c r="O22" s="4">
        <f t="shared" si="2"/>
        <v>0</v>
      </c>
      <c r="P22" s="4">
        <f t="shared" si="3"/>
        <v>4</v>
      </c>
    </row>
    <row r="23" spans="1:16" x14ac:dyDescent="0.25">
      <c r="A23" t="s">
        <v>249</v>
      </c>
      <c r="B23" t="s">
        <v>35</v>
      </c>
      <c r="C23" t="s">
        <v>110</v>
      </c>
      <c r="D23" t="s">
        <v>21</v>
      </c>
      <c r="E23" t="s">
        <v>250</v>
      </c>
      <c r="F23" t="s">
        <v>112</v>
      </c>
      <c r="G23" t="s">
        <v>370</v>
      </c>
      <c r="H23" t="s">
        <v>373</v>
      </c>
      <c r="I23" s="2">
        <v>1</v>
      </c>
      <c r="J23" s="2">
        <v>1</v>
      </c>
      <c r="K23" s="2">
        <v>0.35</v>
      </c>
      <c r="L23" s="2">
        <v>1</v>
      </c>
      <c r="M23" s="4">
        <f t="shared" si="0"/>
        <v>4</v>
      </c>
      <c r="N23" s="4">
        <f t="shared" si="1"/>
        <v>4</v>
      </c>
      <c r="O23" s="4">
        <f t="shared" si="2"/>
        <v>2</v>
      </c>
      <c r="P23" s="4">
        <f t="shared" si="3"/>
        <v>4</v>
      </c>
    </row>
    <row r="24" spans="1:16" x14ac:dyDescent="0.25">
      <c r="A24" t="s">
        <v>280</v>
      </c>
      <c r="B24" t="s">
        <v>35</v>
      </c>
      <c r="C24" t="s">
        <v>146</v>
      </c>
      <c r="D24" t="s">
        <v>281</v>
      </c>
      <c r="E24" t="s">
        <v>282</v>
      </c>
      <c r="F24" t="s">
        <v>149</v>
      </c>
      <c r="G24" t="s">
        <v>363</v>
      </c>
      <c r="H24" t="s">
        <v>358</v>
      </c>
      <c r="I24" s="2">
        <v>1</v>
      </c>
      <c r="J24" s="2">
        <v>0.7</v>
      </c>
      <c r="K24" s="2">
        <v>0</v>
      </c>
      <c r="L24" s="2">
        <v>1</v>
      </c>
      <c r="M24" s="4">
        <f t="shared" si="0"/>
        <v>4</v>
      </c>
      <c r="N24" s="4">
        <f t="shared" si="1"/>
        <v>3</v>
      </c>
      <c r="O24" s="4">
        <f t="shared" si="2"/>
        <v>0</v>
      </c>
      <c r="P24" s="4">
        <f t="shared" si="3"/>
        <v>4</v>
      </c>
    </row>
    <row r="25" spans="1:16" x14ac:dyDescent="0.25">
      <c r="A25" t="s">
        <v>185</v>
      </c>
      <c r="B25" t="s">
        <v>184</v>
      </c>
      <c r="C25" t="s">
        <v>164</v>
      </c>
      <c r="D25" t="s">
        <v>186</v>
      </c>
      <c r="E25" t="s">
        <v>187</v>
      </c>
      <c r="F25" t="s">
        <v>166</v>
      </c>
      <c r="G25" t="s">
        <v>364</v>
      </c>
      <c r="H25" t="s">
        <v>362</v>
      </c>
      <c r="I25" s="2">
        <v>1</v>
      </c>
      <c r="J25" s="2">
        <v>1</v>
      </c>
      <c r="K25" s="2">
        <v>0</v>
      </c>
      <c r="L25" s="2">
        <v>1</v>
      </c>
      <c r="M25" s="4">
        <f t="shared" si="0"/>
        <v>4</v>
      </c>
      <c r="N25" s="4">
        <f t="shared" si="1"/>
        <v>4</v>
      </c>
      <c r="O25" s="4">
        <f t="shared" si="2"/>
        <v>0</v>
      </c>
      <c r="P25" s="4">
        <f t="shared" si="3"/>
        <v>4</v>
      </c>
    </row>
    <row r="26" spans="1:16" x14ac:dyDescent="0.25">
      <c r="A26" t="s">
        <v>107</v>
      </c>
      <c r="B26" t="s">
        <v>35</v>
      </c>
      <c r="C26" t="s">
        <v>85</v>
      </c>
      <c r="D26" t="s">
        <v>11</v>
      </c>
      <c r="E26" t="s">
        <v>108</v>
      </c>
      <c r="F26" t="s">
        <v>87</v>
      </c>
      <c r="G26" t="s">
        <v>370</v>
      </c>
      <c r="H26" t="s">
        <v>357</v>
      </c>
      <c r="I26" s="2">
        <v>1</v>
      </c>
      <c r="J26" s="2">
        <v>1</v>
      </c>
      <c r="K26" s="2">
        <v>0</v>
      </c>
      <c r="L26" s="2">
        <v>1</v>
      </c>
      <c r="M26" s="4">
        <f t="shared" si="0"/>
        <v>4</v>
      </c>
      <c r="N26" s="4">
        <f t="shared" si="1"/>
        <v>4</v>
      </c>
      <c r="O26" s="4">
        <f t="shared" si="2"/>
        <v>0</v>
      </c>
      <c r="P26" s="4">
        <f t="shared" si="3"/>
        <v>4</v>
      </c>
    </row>
    <row r="27" spans="1:16" x14ac:dyDescent="0.25">
      <c r="A27" t="s">
        <v>188</v>
      </c>
      <c r="B27" t="s">
        <v>35</v>
      </c>
      <c r="C27" t="s">
        <v>171</v>
      </c>
      <c r="D27" t="s">
        <v>23</v>
      </c>
      <c r="E27" t="s">
        <v>189</v>
      </c>
      <c r="F27" t="s">
        <v>173</v>
      </c>
      <c r="G27" t="s">
        <v>363</v>
      </c>
      <c r="H27" t="s">
        <v>362</v>
      </c>
      <c r="I27" s="2">
        <v>1</v>
      </c>
      <c r="J27" s="2">
        <v>1</v>
      </c>
      <c r="K27" s="2">
        <v>0</v>
      </c>
      <c r="L27" s="2">
        <v>1</v>
      </c>
      <c r="M27" s="4">
        <f t="shared" si="0"/>
        <v>4</v>
      </c>
      <c r="N27" s="4">
        <f t="shared" si="1"/>
        <v>4</v>
      </c>
      <c r="O27" s="4">
        <f t="shared" si="2"/>
        <v>0</v>
      </c>
      <c r="P27" s="4">
        <f t="shared" si="3"/>
        <v>4</v>
      </c>
    </row>
    <row r="28" spans="1:16" x14ac:dyDescent="0.25">
      <c r="A28" t="s">
        <v>309</v>
      </c>
      <c r="B28" t="s">
        <v>184</v>
      </c>
      <c r="C28" t="s">
        <v>310</v>
      </c>
      <c r="D28" t="s">
        <v>311</v>
      </c>
      <c r="E28" t="s">
        <v>312</v>
      </c>
      <c r="F28" t="s">
        <v>313</v>
      </c>
      <c r="G28" t="s">
        <v>370</v>
      </c>
      <c r="H28" t="s">
        <v>359</v>
      </c>
      <c r="I28" s="2">
        <v>1</v>
      </c>
      <c r="J28" s="2">
        <v>0.7</v>
      </c>
      <c r="K28" s="2">
        <v>0</v>
      </c>
      <c r="L28" s="2">
        <v>1</v>
      </c>
      <c r="M28" s="4">
        <f t="shared" si="0"/>
        <v>4</v>
      </c>
      <c r="N28" s="4">
        <f t="shared" si="1"/>
        <v>3</v>
      </c>
      <c r="O28" s="4">
        <f t="shared" si="2"/>
        <v>0</v>
      </c>
      <c r="P28" s="4">
        <f t="shared" si="3"/>
        <v>4</v>
      </c>
    </row>
    <row r="29" spans="1:16" x14ac:dyDescent="0.25">
      <c r="A29" t="s">
        <v>78</v>
      </c>
      <c r="B29" t="s">
        <v>35</v>
      </c>
      <c r="C29" t="s">
        <v>37</v>
      </c>
      <c r="D29" t="s">
        <v>79</v>
      </c>
      <c r="E29" t="s">
        <v>80</v>
      </c>
      <c r="F29" t="s">
        <v>81</v>
      </c>
      <c r="G29" t="s">
        <v>366</v>
      </c>
      <c r="H29" t="s">
        <v>358</v>
      </c>
      <c r="I29" s="2">
        <v>1</v>
      </c>
      <c r="J29" s="2">
        <v>0.7</v>
      </c>
      <c r="K29" s="2">
        <v>0</v>
      </c>
      <c r="L29" s="2">
        <v>1</v>
      </c>
      <c r="M29" s="4">
        <f t="shared" si="0"/>
        <v>4</v>
      </c>
      <c r="N29" s="4">
        <f t="shared" si="1"/>
        <v>3</v>
      </c>
      <c r="O29" s="4">
        <f t="shared" si="2"/>
        <v>0</v>
      </c>
      <c r="P29" s="4">
        <f t="shared" si="3"/>
        <v>4</v>
      </c>
    </row>
    <row r="30" spans="1:16" x14ac:dyDescent="0.25">
      <c r="A30" t="s">
        <v>319</v>
      </c>
      <c r="B30" t="s">
        <v>35</v>
      </c>
      <c r="C30" t="s">
        <v>245</v>
      </c>
      <c r="D30" t="s">
        <v>320</v>
      </c>
      <c r="E30" t="s">
        <v>321</v>
      </c>
      <c r="F30" t="s">
        <v>248</v>
      </c>
      <c r="G30" t="s">
        <v>374</v>
      </c>
      <c r="H30" t="s">
        <v>362</v>
      </c>
      <c r="I30" s="2">
        <v>1</v>
      </c>
      <c r="J30" s="2">
        <v>0.7</v>
      </c>
      <c r="K30" s="2">
        <v>0</v>
      </c>
      <c r="L30" s="2">
        <v>1</v>
      </c>
      <c r="M30" s="4">
        <f t="shared" si="0"/>
        <v>4</v>
      </c>
      <c r="N30" s="4">
        <f t="shared" si="1"/>
        <v>3</v>
      </c>
      <c r="O30" s="4">
        <f t="shared" si="2"/>
        <v>0</v>
      </c>
      <c r="P30" s="4">
        <f t="shared" si="3"/>
        <v>4</v>
      </c>
    </row>
    <row r="31" spans="1:16" x14ac:dyDescent="0.25">
      <c r="A31" t="s">
        <v>125</v>
      </c>
      <c r="B31" t="s">
        <v>35</v>
      </c>
      <c r="C31" t="s">
        <v>126</v>
      </c>
      <c r="D31" t="s">
        <v>70</v>
      </c>
      <c r="E31" t="s">
        <v>127</v>
      </c>
      <c r="F31" t="s">
        <v>128</v>
      </c>
      <c r="G31" t="s">
        <v>370</v>
      </c>
      <c r="H31" t="s">
        <v>371</v>
      </c>
      <c r="I31" s="2">
        <v>1</v>
      </c>
      <c r="J31" s="2">
        <v>1</v>
      </c>
      <c r="K31" s="2">
        <v>0</v>
      </c>
      <c r="L31" s="2">
        <v>0.7</v>
      </c>
      <c r="M31" s="4">
        <f t="shared" si="0"/>
        <v>4</v>
      </c>
      <c r="N31" s="4">
        <f t="shared" si="1"/>
        <v>4</v>
      </c>
      <c r="O31" s="4">
        <f t="shared" si="2"/>
        <v>0</v>
      </c>
      <c r="P31" s="4">
        <f t="shared" ref="P31:P54" si="4">IF(L31=1,4,IF(L31=0.7,3,IF(L31=0.35,2,IF(L31=0.1,1,0))))</f>
        <v>3</v>
      </c>
    </row>
    <row r="32" spans="1:16" x14ac:dyDescent="0.25">
      <c r="A32" t="s">
        <v>102</v>
      </c>
      <c r="B32" t="s">
        <v>35</v>
      </c>
      <c r="C32" t="s">
        <v>103</v>
      </c>
      <c r="D32" t="s">
        <v>104</v>
      </c>
      <c r="E32" t="s">
        <v>105</v>
      </c>
      <c r="F32" t="s">
        <v>106</v>
      </c>
      <c r="G32" t="s">
        <v>360</v>
      </c>
      <c r="H32" t="s">
        <v>357</v>
      </c>
      <c r="I32" s="2">
        <v>1</v>
      </c>
      <c r="J32" s="2">
        <v>0.7</v>
      </c>
      <c r="K32" s="2">
        <v>0</v>
      </c>
      <c r="L32" s="2">
        <v>1</v>
      </c>
      <c r="M32" s="4">
        <f t="shared" si="0"/>
        <v>4</v>
      </c>
      <c r="N32" s="4">
        <f t="shared" si="1"/>
        <v>3</v>
      </c>
      <c r="O32" s="4">
        <f t="shared" si="2"/>
        <v>0</v>
      </c>
      <c r="P32" s="4">
        <f t="shared" si="4"/>
        <v>4</v>
      </c>
    </row>
    <row r="33" spans="1:16" x14ac:dyDescent="0.25">
      <c r="A33" t="s">
        <v>266</v>
      </c>
      <c r="B33" t="s">
        <v>35</v>
      </c>
      <c r="C33" t="s">
        <v>267</v>
      </c>
      <c r="D33" t="s">
        <v>268</v>
      </c>
      <c r="E33" t="s">
        <v>269</v>
      </c>
      <c r="F33" t="s">
        <v>270</v>
      </c>
      <c r="G33" t="s">
        <v>372</v>
      </c>
      <c r="H33" t="s">
        <v>373</v>
      </c>
      <c r="I33" s="2">
        <v>1</v>
      </c>
      <c r="J33" s="2">
        <v>1</v>
      </c>
      <c r="K33" s="2">
        <v>0.35</v>
      </c>
      <c r="L33" s="2">
        <v>0.7</v>
      </c>
      <c r="M33" s="4">
        <f t="shared" si="0"/>
        <v>4</v>
      </c>
      <c r="N33" s="4">
        <f t="shared" si="1"/>
        <v>4</v>
      </c>
      <c r="O33" s="4">
        <f t="shared" si="2"/>
        <v>2</v>
      </c>
      <c r="P33" s="4">
        <f t="shared" si="4"/>
        <v>3</v>
      </c>
    </row>
    <row r="34" spans="1:16" x14ac:dyDescent="0.25">
      <c r="A34" t="s">
        <v>134</v>
      </c>
      <c r="B34" t="s">
        <v>35</v>
      </c>
      <c r="C34" t="s">
        <v>42</v>
      </c>
      <c r="D34" t="s">
        <v>135</v>
      </c>
      <c r="E34" t="s">
        <v>136</v>
      </c>
      <c r="F34" t="s">
        <v>137</v>
      </c>
      <c r="G34" t="s">
        <v>369</v>
      </c>
      <c r="H34" t="s">
        <v>371</v>
      </c>
      <c r="I34" s="2">
        <v>1</v>
      </c>
      <c r="J34" s="2">
        <v>0.7</v>
      </c>
      <c r="K34" s="2">
        <v>0</v>
      </c>
      <c r="L34" s="2">
        <v>1</v>
      </c>
      <c r="M34" s="4">
        <f t="shared" ref="M34:M65" si="5">IF(I34=1,4,IF(I34=0.7,3,IF(I34=0.35,2,IF(I34=0.1,1,0))))</f>
        <v>4</v>
      </c>
      <c r="N34" s="4">
        <f t="shared" ref="N34:N65" si="6">IF(J34=1,4,IF(J34=0.7,3,IF(J34=0.35,2,IF(J34=0.1,1,0))))</f>
        <v>3</v>
      </c>
      <c r="O34" s="4">
        <f t="shared" ref="O34:O65" si="7">IF(K34=1,4,IF(K34=0.7,3,IF(K34=0.35,2,IF(K34=0.1,1,0))))</f>
        <v>0</v>
      </c>
      <c r="P34" s="4">
        <f t="shared" si="4"/>
        <v>4</v>
      </c>
    </row>
    <row r="35" spans="1:16" x14ac:dyDescent="0.25">
      <c r="A35" t="s">
        <v>202</v>
      </c>
      <c r="B35" t="s">
        <v>35</v>
      </c>
      <c r="C35" t="s">
        <v>37</v>
      </c>
      <c r="D35" t="s">
        <v>203</v>
      </c>
      <c r="E35" t="s">
        <v>204</v>
      </c>
      <c r="F35" t="s">
        <v>81</v>
      </c>
      <c r="G35" t="s">
        <v>360</v>
      </c>
      <c r="H35" t="s">
        <v>357</v>
      </c>
      <c r="I35" s="2">
        <v>1</v>
      </c>
      <c r="J35" s="2">
        <v>1</v>
      </c>
      <c r="K35" s="2">
        <v>0</v>
      </c>
      <c r="L35" s="2">
        <v>0.7</v>
      </c>
      <c r="M35" s="4">
        <f t="shared" si="5"/>
        <v>4</v>
      </c>
      <c r="N35" s="4">
        <f t="shared" si="6"/>
        <v>4</v>
      </c>
      <c r="O35" s="4">
        <f t="shared" si="7"/>
        <v>0</v>
      </c>
      <c r="P35" s="4">
        <f t="shared" si="4"/>
        <v>3</v>
      </c>
    </row>
    <row r="36" spans="1:16" x14ac:dyDescent="0.25">
      <c r="A36" t="s">
        <v>138</v>
      </c>
      <c r="B36" t="s">
        <v>35</v>
      </c>
      <c r="C36" t="s">
        <v>139</v>
      </c>
      <c r="D36" t="s">
        <v>140</v>
      </c>
      <c r="E36" t="s">
        <v>141</v>
      </c>
      <c r="F36" t="s">
        <v>142</v>
      </c>
      <c r="G36" t="s">
        <v>366</v>
      </c>
      <c r="H36" t="s">
        <v>359</v>
      </c>
      <c r="I36" s="2">
        <v>1</v>
      </c>
      <c r="J36" s="2">
        <v>1</v>
      </c>
      <c r="K36" s="2">
        <v>0</v>
      </c>
      <c r="L36" s="2">
        <v>0.7</v>
      </c>
      <c r="M36" s="4">
        <f t="shared" si="5"/>
        <v>4</v>
      </c>
      <c r="N36" s="4">
        <f t="shared" si="6"/>
        <v>4</v>
      </c>
      <c r="O36" s="4">
        <f t="shared" si="7"/>
        <v>0</v>
      </c>
      <c r="P36" s="4">
        <f t="shared" si="4"/>
        <v>3</v>
      </c>
    </row>
    <row r="37" spans="1:16" x14ac:dyDescent="0.25">
      <c r="A37" t="s">
        <v>143</v>
      </c>
      <c r="B37" t="s">
        <v>35</v>
      </c>
      <c r="C37" t="s">
        <v>85</v>
      </c>
      <c r="D37" t="s">
        <v>12</v>
      </c>
      <c r="E37" t="s">
        <v>144</v>
      </c>
      <c r="F37" t="s">
        <v>87</v>
      </c>
      <c r="G37" t="s">
        <v>370</v>
      </c>
      <c r="H37" t="s">
        <v>371</v>
      </c>
      <c r="I37" s="2">
        <v>1</v>
      </c>
      <c r="J37" s="2">
        <v>1</v>
      </c>
      <c r="K37" s="2">
        <v>0</v>
      </c>
      <c r="L37" s="2">
        <v>0.7</v>
      </c>
      <c r="M37" s="4">
        <f t="shared" si="5"/>
        <v>4</v>
      </c>
      <c r="N37" s="4">
        <f t="shared" si="6"/>
        <v>4</v>
      </c>
      <c r="O37" s="4">
        <f t="shared" si="7"/>
        <v>0</v>
      </c>
      <c r="P37" s="4">
        <f t="shared" si="4"/>
        <v>3</v>
      </c>
    </row>
    <row r="38" spans="1:16" x14ac:dyDescent="0.25">
      <c r="A38" t="s">
        <v>82</v>
      </c>
      <c r="B38" t="s">
        <v>35</v>
      </c>
      <c r="C38" t="s">
        <v>37</v>
      </c>
      <c r="D38" t="s">
        <v>55</v>
      </c>
      <c r="E38" t="s">
        <v>83</v>
      </c>
      <c r="F38" t="s">
        <v>40</v>
      </c>
      <c r="G38" t="s">
        <v>366</v>
      </c>
      <c r="H38" t="s">
        <v>357</v>
      </c>
      <c r="I38" s="2">
        <v>1</v>
      </c>
      <c r="J38" s="2">
        <v>1</v>
      </c>
      <c r="K38" s="2">
        <v>0</v>
      </c>
      <c r="L38" s="2">
        <v>0.7</v>
      </c>
      <c r="M38" s="4">
        <f t="shared" si="5"/>
        <v>4</v>
      </c>
      <c r="N38" s="4">
        <f t="shared" si="6"/>
        <v>4</v>
      </c>
      <c r="O38" s="4">
        <f t="shared" si="7"/>
        <v>0</v>
      </c>
      <c r="P38" s="4">
        <f t="shared" si="4"/>
        <v>3</v>
      </c>
    </row>
    <row r="39" spans="1:16" x14ac:dyDescent="0.25">
      <c r="A39" t="s">
        <v>109</v>
      </c>
      <c r="B39" t="s">
        <v>35</v>
      </c>
      <c r="C39" t="s">
        <v>110</v>
      </c>
      <c r="D39" t="s">
        <v>20</v>
      </c>
      <c r="E39" t="s">
        <v>111</v>
      </c>
      <c r="F39" t="s">
        <v>112</v>
      </c>
      <c r="G39" t="s">
        <v>369</v>
      </c>
      <c r="H39" t="s">
        <v>359</v>
      </c>
      <c r="I39" s="2">
        <v>1</v>
      </c>
      <c r="J39" s="2">
        <v>0.7</v>
      </c>
      <c r="K39" s="2">
        <v>0</v>
      </c>
      <c r="L39" s="2">
        <v>1</v>
      </c>
      <c r="M39" s="4">
        <f t="shared" si="5"/>
        <v>4</v>
      </c>
      <c r="N39" s="4">
        <f t="shared" si="6"/>
        <v>3</v>
      </c>
      <c r="O39" s="4">
        <f t="shared" si="7"/>
        <v>0</v>
      </c>
      <c r="P39" s="4">
        <f t="shared" si="4"/>
        <v>4</v>
      </c>
    </row>
    <row r="40" spans="1:16" x14ac:dyDescent="0.25">
      <c r="A40" t="s">
        <v>317</v>
      </c>
      <c r="B40" t="s">
        <v>35</v>
      </c>
      <c r="C40" t="s">
        <v>37</v>
      </c>
      <c r="D40" t="s">
        <v>300</v>
      </c>
      <c r="E40" t="s">
        <v>318</v>
      </c>
      <c r="F40" t="s">
        <v>81</v>
      </c>
      <c r="G40" t="s">
        <v>369</v>
      </c>
      <c r="H40" t="s">
        <v>362</v>
      </c>
      <c r="I40" s="2">
        <v>1</v>
      </c>
      <c r="J40" s="2">
        <v>1</v>
      </c>
      <c r="K40" s="2">
        <v>0</v>
      </c>
      <c r="L40" s="2">
        <v>0.7</v>
      </c>
      <c r="M40" s="4">
        <f t="shared" si="5"/>
        <v>4</v>
      </c>
      <c r="N40" s="4">
        <f t="shared" si="6"/>
        <v>4</v>
      </c>
      <c r="O40" s="4">
        <f t="shared" si="7"/>
        <v>0</v>
      </c>
      <c r="P40" s="4">
        <f t="shared" si="4"/>
        <v>3</v>
      </c>
    </row>
    <row r="41" spans="1:16" x14ac:dyDescent="0.25">
      <c r="A41" t="s">
        <v>158</v>
      </c>
      <c r="B41" t="s">
        <v>35</v>
      </c>
      <c r="C41" t="s">
        <v>91</v>
      </c>
      <c r="D41" t="s">
        <v>159</v>
      </c>
      <c r="E41" t="s">
        <v>160</v>
      </c>
      <c r="F41" t="s">
        <v>94</v>
      </c>
      <c r="G41" t="s">
        <v>361</v>
      </c>
      <c r="H41" t="s">
        <v>367</v>
      </c>
      <c r="I41" s="2">
        <v>1</v>
      </c>
      <c r="J41" s="2">
        <v>1</v>
      </c>
      <c r="K41" s="2">
        <v>0</v>
      </c>
      <c r="L41" s="2">
        <v>0.7</v>
      </c>
      <c r="M41" s="4">
        <f t="shared" si="5"/>
        <v>4</v>
      </c>
      <c r="N41" s="4">
        <f t="shared" si="6"/>
        <v>4</v>
      </c>
      <c r="O41" s="4">
        <f t="shared" si="7"/>
        <v>0</v>
      </c>
      <c r="P41" s="4">
        <f t="shared" si="4"/>
        <v>3</v>
      </c>
    </row>
    <row r="42" spans="1:16" x14ac:dyDescent="0.25">
      <c r="A42" t="s">
        <v>209</v>
      </c>
      <c r="B42" t="s">
        <v>35</v>
      </c>
      <c r="C42" t="s">
        <v>210</v>
      </c>
      <c r="D42" t="s">
        <v>211</v>
      </c>
      <c r="E42" t="s">
        <v>212</v>
      </c>
      <c r="F42" t="s">
        <v>213</v>
      </c>
      <c r="G42" t="s">
        <v>369</v>
      </c>
      <c r="H42" t="s">
        <v>359</v>
      </c>
      <c r="I42" s="2">
        <v>0.7</v>
      </c>
      <c r="J42" s="2">
        <v>1</v>
      </c>
      <c r="K42" s="2">
        <v>0.35</v>
      </c>
      <c r="L42" s="2">
        <v>1</v>
      </c>
      <c r="M42" s="4">
        <f t="shared" si="5"/>
        <v>3</v>
      </c>
      <c r="N42" s="4">
        <f t="shared" si="6"/>
        <v>4</v>
      </c>
      <c r="O42" s="4">
        <f t="shared" si="7"/>
        <v>2</v>
      </c>
      <c r="P42" s="4">
        <f t="shared" si="4"/>
        <v>4</v>
      </c>
    </row>
    <row r="43" spans="1:16" x14ac:dyDescent="0.25">
      <c r="A43" t="s">
        <v>163</v>
      </c>
      <c r="B43" t="s">
        <v>35</v>
      </c>
      <c r="C43" t="s">
        <v>164</v>
      </c>
      <c r="D43" t="s">
        <v>165</v>
      </c>
      <c r="E43" t="s">
        <v>156</v>
      </c>
      <c r="F43" t="s">
        <v>166</v>
      </c>
      <c r="G43" t="s">
        <v>364</v>
      </c>
      <c r="H43" t="s">
        <v>362</v>
      </c>
      <c r="I43" s="2">
        <v>1</v>
      </c>
      <c r="J43" s="2">
        <v>1</v>
      </c>
      <c r="K43" s="2">
        <v>0</v>
      </c>
      <c r="L43" s="2">
        <v>0.7</v>
      </c>
      <c r="M43" s="4">
        <f t="shared" si="5"/>
        <v>4</v>
      </c>
      <c r="N43" s="4">
        <f t="shared" si="6"/>
        <v>4</v>
      </c>
      <c r="O43" s="4">
        <f t="shared" si="7"/>
        <v>0</v>
      </c>
      <c r="P43" s="4">
        <f t="shared" si="4"/>
        <v>3</v>
      </c>
    </row>
    <row r="44" spans="1:16" x14ac:dyDescent="0.25">
      <c r="A44" t="s">
        <v>98</v>
      </c>
      <c r="B44" t="s">
        <v>35</v>
      </c>
      <c r="C44" t="s">
        <v>99</v>
      </c>
      <c r="D44" t="s">
        <v>25</v>
      </c>
      <c r="E44" t="s">
        <v>100</v>
      </c>
      <c r="F44" t="s">
        <v>101</v>
      </c>
      <c r="G44" t="s">
        <v>369</v>
      </c>
      <c r="H44" t="s">
        <v>359</v>
      </c>
      <c r="I44" s="2">
        <v>1</v>
      </c>
      <c r="J44" s="2">
        <v>1</v>
      </c>
      <c r="K44" s="2">
        <v>0</v>
      </c>
      <c r="L44" s="2">
        <v>0.7</v>
      </c>
      <c r="M44" s="4">
        <f t="shared" si="5"/>
        <v>4</v>
      </c>
      <c r="N44" s="4">
        <f t="shared" si="6"/>
        <v>4</v>
      </c>
      <c r="O44" s="4">
        <f t="shared" si="7"/>
        <v>0</v>
      </c>
      <c r="P44" s="4">
        <f t="shared" si="4"/>
        <v>3</v>
      </c>
    </row>
    <row r="45" spans="1:16" x14ac:dyDescent="0.25">
      <c r="A45" t="s">
        <v>170</v>
      </c>
      <c r="B45" t="s">
        <v>35</v>
      </c>
      <c r="C45" t="s">
        <v>171</v>
      </c>
      <c r="D45" t="s">
        <v>28</v>
      </c>
      <c r="E45" t="s">
        <v>172</v>
      </c>
      <c r="F45" t="s">
        <v>173</v>
      </c>
      <c r="G45" t="s">
        <v>370</v>
      </c>
      <c r="H45" t="s">
        <v>362</v>
      </c>
      <c r="I45" s="2">
        <v>1</v>
      </c>
      <c r="J45" s="2">
        <v>1</v>
      </c>
      <c r="K45" s="2">
        <v>0</v>
      </c>
      <c r="L45" s="2">
        <v>0.7</v>
      </c>
      <c r="M45" s="4">
        <f t="shared" si="5"/>
        <v>4</v>
      </c>
      <c r="N45" s="4">
        <f t="shared" si="6"/>
        <v>4</v>
      </c>
      <c r="O45" s="4">
        <f t="shared" si="7"/>
        <v>0</v>
      </c>
      <c r="P45" s="4">
        <f t="shared" si="4"/>
        <v>3</v>
      </c>
    </row>
    <row r="46" spans="1:16" x14ac:dyDescent="0.25">
      <c r="A46" t="s">
        <v>174</v>
      </c>
      <c r="B46" t="s">
        <v>35</v>
      </c>
      <c r="C46" t="s">
        <v>175</v>
      </c>
      <c r="D46" t="s">
        <v>176</v>
      </c>
      <c r="E46" t="s">
        <v>177</v>
      </c>
      <c r="F46" t="s">
        <v>178</v>
      </c>
      <c r="G46" t="s">
        <v>361</v>
      </c>
      <c r="H46" t="s">
        <v>359</v>
      </c>
      <c r="I46" s="2">
        <v>1</v>
      </c>
      <c r="J46" s="2">
        <v>0.7</v>
      </c>
      <c r="K46" s="2">
        <v>0</v>
      </c>
      <c r="L46" s="2">
        <v>0.7</v>
      </c>
      <c r="M46" s="4">
        <f t="shared" si="5"/>
        <v>4</v>
      </c>
      <c r="N46" s="4">
        <f t="shared" si="6"/>
        <v>3</v>
      </c>
      <c r="O46" s="4">
        <f t="shared" si="7"/>
        <v>0</v>
      </c>
      <c r="P46" s="4">
        <f t="shared" si="4"/>
        <v>3</v>
      </c>
    </row>
    <row r="47" spans="1:16" x14ac:dyDescent="0.25">
      <c r="A47" t="s">
        <v>121</v>
      </c>
      <c r="B47" t="s">
        <v>35</v>
      </c>
      <c r="C47" t="s">
        <v>122</v>
      </c>
      <c r="D47" t="s">
        <v>26</v>
      </c>
      <c r="E47" t="s">
        <v>123</v>
      </c>
      <c r="F47" t="s">
        <v>124</v>
      </c>
      <c r="G47" t="s">
        <v>370</v>
      </c>
      <c r="H47" t="s">
        <v>371</v>
      </c>
      <c r="I47" s="2">
        <v>1</v>
      </c>
      <c r="J47" s="2">
        <v>0.7</v>
      </c>
      <c r="K47" s="2">
        <v>0</v>
      </c>
      <c r="L47" s="2">
        <v>0.7</v>
      </c>
      <c r="M47" s="4">
        <f t="shared" si="5"/>
        <v>4</v>
      </c>
      <c r="N47" s="4">
        <f t="shared" si="6"/>
        <v>3</v>
      </c>
      <c r="O47" s="4">
        <f t="shared" si="7"/>
        <v>0</v>
      </c>
      <c r="P47" s="4">
        <f t="shared" si="4"/>
        <v>3</v>
      </c>
    </row>
    <row r="48" spans="1:16" x14ac:dyDescent="0.25">
      <c r="A48" t="s">
        <v>242</v>
      </c>
      <c r="B48" t="s">
        <v>35</v>
      </c>
      <c r="C48" t="s">
        <v>85</v>
      </c>
      <c r="D48" t="s">
        <v>10</v>
      </c>
      <c r="E48" t="s">
        <v>243</v>
      </c>
      <c r="F48" t="s">
        <v>87</v>
      </c>
      <c r="G48" t="s">
        <v>370</v>
      </c>
      <c r="H48" t="s">
        <v>367</v>
      </c>
      <c r="I48" s="2">
        <v>0.7</v>
      </c>
      <c r="J48" s="2">
        <v>1</v>
      </c>
      <c r="K48" s="2">
        <v>0</v>
      </c>
      <c r="L48" s="2">
        <v>1</v>
      </c>
      <c r="M48" s="4">
        <f t="shared" si="5"/>
        <v>3</v>
      </c>
      <c r="N48" s="4">
        <f t="shared" si="6"/>
        <v>4</v>
      </c>
      <c r="O48" s="4">
        <f t="shared" si="7"/>
        <v>0</v>
      </c>
      <c r="P48" s="4">
        <f t="shared" si="4"/>
        <v>4</v>
      </c>
    </row>
    <row r="49" spans="1:16" x14ac:dyDescent="0.25">
      <c r="A49" t="s">
        <v>179</v>
      </c>
      <c r="B49" t="s">
        <v>35</v>
      </c>
      <c r="C49" t="s">
        <v>180</v>
      </c>
      <c r="D49" t="s">
        <v>181</v>
      </c>
      <c r="E49" t="s">
        <v>182</v>
      </c>
      <c r="F49" t="s">
        <v>183</v>
      </c>
      <c r="G49" t="s">
        <v>364</v>
      </c>
      <c r="H49" t="s">
        <v>362</v>
      </c>
      <c r="I49" s="2">
        <v>1</v>
      </c>
      <c r="J49" s="2">
        <v>0.7</v>
      </c>
      <c r="K49" s="2">
        <v>0</v>
      </c>
      <c r="L49" s="2">
        <v>0.7</v>
      </c>
      <c r="M49" s="4">
        <f t="shared" si="5"/>
        <v>4</v>
      </c>
      <c r="N49" s="4">
        <f t="shared" si="6"/>
        <v>3</v>
      </c>
      <c r="O49" s="4">
        <f t="shared" si="7"/>
        <v>0</v>
      </c>
      <c r="P49" s="4">
        <f t="shared" si="4"/>
        <v>3</v>
      </c>
    </row>
    <row r="50" spans="1:16" x14ac:dyDescent="0.25">
      <c r="A50" t="s">
        <v>193</v>
      </c>
      <c r="B50" t="s">
        <v>35</v>
      </c>
      <c r="C50" t="s">
        <v>37</v>
      </c>
      <c r="D50" t="s">
        <v>194</v>
      </c>
      <c r="E50" t="s">
        <v>195</v>
      </c>
      <c r="F50" t="s">
        <v>81</v>
      </c>
      <c r="G50" t="s">
        <v>370</v>
      </c>
      <c r="H50" t="s">
        <v>367</v>
      </c>
      <c r="I50" s="2">
        <v>1</v>
      </c>
      <c r="J50" s="2">
        <v>1</v>
      </c>
      <c r="K50" s="2">
        <v>0</v>
      </c>
      <c r="L50" s="2">
        <v>0.7</v>
      </c>
      <c r="M50" s="4">
        <f t="shared" si="5"/>
        <v>4</v>
      </c>
      <c r="N50" s="4">
        <f t="shared" si="6"/>
        <v>4</v>
      </c>
      <c r="O50" s="4">
        <f t="shared" si="7"/>
        <v>0</v>
      </c>
      <c r="P50" s="4">
        <f t="shared" si="4"/>
        <v>3</v>
      </c>
    </row>
    <row r="51" spans="1:16" x14ac:dyDescent="0.25">
      <c r="A51" t="s">
        <v>196</v>
      </c>
      <c r="B51" t="s">
        <v>35</v>
      </c>
      <c r="C51" t="s">
        <v>37</v>
      </c>
      <c r="D51" t="s">
        <v>197</v>
      </c>
      <c r="E51" t="s">
        <v>198</v>
      </c>
      <c r="F51" t="s">
        <v>81</v>
      </c>
      <c r="G51" t="s">
        <v>360</v>
      </c>
      <c r="H51" t="s">
        <v>362</v>
      </c>
      <c r="I51" s="2">
        <v>1</v>
      </c>
      <c r="J51" s="2">
        <v>0.7</v>
      </c>
      <c r="K51" s="2">
        <v>0</v>
      </c>
      <c r="L51" s="2">
        <v>0.7</v>
      </c>
      <c r="M51" s="4">
        <f t="shared" si="5"/>
        <v>4</v>
      </c>
      <c r="N51" s="4">
        <f t="shared" si="6"/>
        <v>3</v>
      </c>
      <c r="O51" s="4">
        <f t="shared" si="7"/>
        <v>0</v>
      </c>
      <c r="P51" s="4">
        <f t="shared" si="4"/>
        <v>3</v>
      </c>
    </row>
    <row r="52" spans="1:16" x14ac:dyDescent="0.25">
      <c r="A52" t="s">
        <v>255</v>
      </c>
      <c r="B52" t="s">
        <v>35</v>
      </c>
      <c r="C52" t="s">
        <v>239</v>
      </c>
      <c r="D52" t="s">
        <v>17</v>
      </c>
      <c r="E52" t="s">
        <v>256</v>
      </c>
      <c r="F52" t="s">
        <v>241</v>
      </c>
      <c r="G52" t="s">
        <v>372</v>
      </c>
      <c r="H52" t="s">
        <v>373</v>
      </c>
      <c r="I52" s="2">
        <v>0.7</v>
      </c>
      <c r="J52" s="2">
        <v>0.7</v>
      </c>
      <c r="K52" s="2">
        <v>0</v>
      </c>
      <c r="L52" s="2">
        <v>1</v>
      </c>
      <c r="M52" s="4">
        <f t="shared" si="5"/>
        <v>3</v>
      </c>
      <c r="N52" s="4">
        <f t="shared" si="6"/>
        <v>3</v>
      </c>
      <c r="O52" s="4">
        <f t="shared" si="7"/>
        <v>0</v>
      </c>
      <c r="P52" s="4">
        <f t="shared" si="4"/>
        <v>4</v>
      </c>
    </row>
    <row r="53" spans="1:16" x14ac:dyDescent="0.25">
      <c r="A53" t="s">
        <v>205</v>
      </c>
      <c r="B53" t="s">
        <v>35</v>
      </c>
      <c r="C53" t="s">
        <v>85</v>
      </c>
      <c r="D53" t="s">
        <v>15</v>
      </c>
      <c r="E53" t="s">
        <v>206</v>
      </c>
      <c r="F53" t="s">
        <v>87</v>
      </c>
      <c r="G53" t="s">
        <v>363</v>
      </c>
      <c r="H53" t="s">
        <v>358</v>
      </c>
      <c r="I53" s="2">
        <v>1</v>
      </c>
      <c r="J53" s="2">
        <v>0.7</v>
      </c>
      <c r="K53" s="2">
        <v>0</v>
      </c>
      <c r="L53" s="2">
        <v>0.7</v>
      </c>
      <c r="M53" s="4">
        <f t="shared" si="5"/>
        <v>4</v>
      </c>
      <c r="N53" s="4">
        <f t="shared" si="6"/>
        <v>3</v>
      </c>
      <c r="O53" s="4">
        <f t="shared" si="7"/>
        <v>0</v>
      </c>
      <c r="P53" s="4">
        <f t="shared" si="4"/>
        <v>3</v>
      </c>
    </row>
    <row r="54" spans="1:16" x14ac:dyDescent="0.25">
      <c r="A54" t="s">
        <v>207</v>
      </c>
      <c r="B54" t="s">
        <v>35</v>
      </c>
      <c r="C54" t="s">
        <v>171</v>
      </c>
      <c r="D54" t="s">
        <v>22</v>
      </c>
      <c r="E54" t="s">
        <v>208</v>
      </c>
      <c r="F54" t="s">
        <v>173</v>
      </c>
      <c r="G54" t="s">
        <v>372</v>
      </c>
      <c r="H54" t="s">
        <v>373</v>
      </c>
      <c r="I54" s="2">
        <v>1</v>
      </c>
      <c r="J54" s="2">
        <v>0.7</v>
      </c>
      <c r="K54" s="2">
        <v>0</v>
      </c>
      <c r="L54" s="2">
        <v>0.7</v>
      </c>
      <c r="M54" s="4">
        <f t="shared" si="5"/>
        <v>4</v>
      </c>
      <c r="N54" s="4">
        <f t="shared" si="6"/>
        <v>3</v>
      </c>
      <c r="O54" s="4">
        <f t="shared" si="7"/>
        <v>0</v>
      </c>
      <c r="P54" s="4">
        <f t="shared" si="4"/>
        <v>3</v>
      </c>
    </row>
    <row r="55" spans="1:16" x14ac:dyDescent="0.25">
      <c r="A55" t="s">
        <v>314</v>
      </c>
      <c r="B55" t="s">
        <v>35</v>
      </c>
      <c r="C55" t="s">
        <v>37</v>
      </c>
      <c r="D55" t="s">
        <v>315</v>
      </c>
      <c r="E55" t="s">
        <v>316</v>
      </c>
      <c r="F55" t="s">
        <v>40</v>
      </c>
      <c r="G55" t="s">
        <v>375</v>
      </c>
      <c r="H55" t="s">
        <v>357</v>
      </c>
      <c r="I55" s="2">
        <v>1</v>
      </c>
      <c r="J55" s="2">
        <v>0.7</v>
      </c>
      <c r="K55" s="2">
        <v>0</v>
      </c>
      <c r="L55" s="2">
        <v>0.7</v>
      </c>
      <c r="M55" s="4">
        <f t="shared" si="5"/>
        <v>4</v>
      </c>
      <c r="N55" s="4">
        <f t="shared" si="6"/>
        <v>3</v>
      </c>
      <c r="O55" s="4">
        <f t="shared" si="7"/>
        <v>0</v>
      </c>
      <c r="P55" s="4">
        <f t="shared" ref="P55:P77" si="8">IF(L55=1,4,IF(L55=0.7,3,IF(L55=0.35,2,IF(L55=0.1,1,0))))</f>
        <v>3</v>
      </c>
    </row>
    <row r="56" spans="1:16" x14ac:dyDescent="0.25">
      <c r="A56" t="s">
        <v>153</v>
      </c>
      <c r="B56" t="s">
        <v>35</v>
      </c>
      <c r="C56" t="s">
        <v>154</v>
      </c>
      <c r="D56" t="s">
        <v>155</v>
      </c>
      <c r="E56" t="s">
        <v>156</v>
      </c>
      <c r="F56" t="s">
        <v>157</v>
      </c>
      <c r="G56" t="s">
        <v>360</v>
      </c>
      <c r="H56" t="s">
        <v>362</v>
      </c>
      <c r="I56" s="2">
        <v>1</v>
      </c>
      <c r="J56" s="2">
        <v>0.7</v>
      </c>
      <c r="K56" s="2">
        <v>0</v>
      </c>
      <c r="L56" s="2">
        <v>0.7</v>
      </c>
      <c r="M56" s="4">
        <f t="shared" si="5"/>
        <v>4</v>
      </c>
      <c r="N56" s="4">
        <f t="shared" si="6"/>
        <v>3</v>
      </c>
      <c r="O56" s="4">
        <f t="shared" si="7"/>
        <v>0</v>
      </c>
      <c r="P56" s="4">
        <f t="shared" si="8"/>
        <v>3</v>
      </c>
    </row>
    <row r="57" spans="1:16" x14ac:dyDescent="0.25">
      <c r="A57" t="s">
        <v>346</v>
      </c>
      <c r="B57" t="s">
        <v>35</v>
      </c>
      <c r="C57" t="s">
        <v>42</v>
      </c>
      <c r="D57" t="s">
        <v>347</v>
      </c>
      <c r="E57" t="s">
        <v>348</v>
      </c>
      <c r="F57" t="s">
        <v>45</v>
      </c>
      <c r="G57" t="s">
        <v>368</v>
      </c>
      <c r="H57" t="s">
        <v>362</v>
      </c>
      <c r="I57" s="2">
        <v>0.7</v>
      </c>
      <c r="J57" s="2">
        <v>1</v>
      </c>
      <c r="K57" s="2">
        <v>0</v>
      </c>
      <c r="L57" s="2">
        <v>1</v>
      </c>
      <c r="M57" s="4">
        <f t="shared" si="5"/>
        <v>3</v>
      </c>
      <c r="N57" s="4">
        <f t="shared" si="6"/>
        <v>4</v>
      </c>
      <c r="O57" s="4">
        <f t="shared" si="7"/>
        <v>0</v>
      </c>
      <c r="P57" s="4">
        <f t="shared" si="8"/>
        <v>4</v>
      </c>
    </row>
    <row r="58" spans="1:16" x14ac:dyDescent="0.25">
      <c r="A58" t="s">
        <v>199</v>
      </c>
      <c r="B58" t="s">
        <v>35</v>
      </c>
      <c r="C58" t="s">
        <v>139</v>
      </c>
      <c r="D58" t="s">
        <v>200</v>
      </c>
      <c r="E58" t="s">
        <v>201</v>
      </c>
      <c r="F58" t="s">
        <v>142</v>
      </c>
      <c r="G58" t="s">
        <v>369</v>
      </c>
      <c r="H58" t="s">
        <v>359</v>
      </c>
      <c r="I58" s="2">
        <v>1</v>
      </c>
      <c r="J58" s="2">
        <v>0.7</v>
      </c>
      <c r="K58" s="2">
        <v>0.1</v>
      </c>
      <c r="L58" s="2">
        <v>0.7</v>
      </c>
      <c r="M58" s="4">
        <f t="shared" si="5"/>
        <v>4</v>
      </c>
      <c r="N58" s="4">
        <f t="shared" si="6"/>
        <v>3</v>
      </c>
      <c r="O58" s="4">
        <f t="shared" si="7"/>
        <v>1</v>
      </c>
      <c r="P58" s="4">
        <f t="shared" si="8"/>
        <v>3</v>
      </c>
    </row>
    <row r="59" spans="1:16" x14ac:dyDescent="0.25">
      <c r="A59" t="s">
        <v>283</v>
      </c>
      <c r="B59" t="s">
        <v>35</v>
      </c>
      <c r="C59" t="s">
        <v>42</v>
      </c>
      <c r="D59" t="s">
        <v>281</v>
      </c>
      <c r="E59" t="s">
        <v>284</v>
      </c>
      <c r="F59" t="s">
        <v>45</v>
      </c>
      <c r="G59" t="s">
        <v>361</v>
      </c>
      <c r="H59" t="s">
        <v>362</v>
      </c>
      <c r="I59" s="2">
        <v>1</v>
      </c>
      <c r="J59" s="2">
        <v>0.35</v>
      </c>
      <c r="K59" s="2">
        <v>0</v>
      </c>
      <c r="L59" s="2">
        <v>1</v>
      </c>
      <c r="M59" s="4">
        <f t="shared" si="5"/>
        <v>4</v>
      </c>
      <c r="N59" s="4">
        <f t="shared" si="6"/>
        <v>2</v>
      </c>
      <c r="O59" s="4">
        <f t="shared" si="7"/>
        <v>0</v>
      </c>
      <c r="P59" s="4">
        <f t="shared" si="8"/>
        <v>4</v>
      </c>
    </row>
    <row r="60" spans="1:16" x14ac:dyDescent="0.25">
      <c r="A60" t="s">
        <v>214</v>
      </c>
      <c r="B60" t="s">
        <v>35</v>
      </c>
      <c r="C60" t="s">
        <v>139</v>
      </c>
      <c r="D60" t="s">
        <v>30</v>
      </c>
      <c r="E60" t="s">
        <v>215</v>
      </c>
      <c r="F60" t="s">
        <v>142</v>
      </c>
      <c r="G60" t="s">
        <v>372</v>
      </c>
      <c r="H60" t="s">
        <v>373</v>
      </c>
      <c r="I60" s="2">
        <v>1</v>
      </c>
      <c r="J60" s="2">
        <v>0.7</v>
      </c>
      <c r="K60" s="2">
        <v>0.1</v>
      </c>
      <c r="L60" s="2">
        <v>0.7</v>
      </c>
      <c r="M60" s="4">
        <f t="shared" si="5"/>
        <v>4</v>
      </c>
      <c r="N60" s="4">
        <f t="shared" si="6"/>
        <v>3</v>
      </c>
      <c r="O60" s="4">
        <f t="shared" si="7"/>
        <v>1</v>
      </c>
      <c r="P60" s="4">
        <f t="shared" si="8"/>
        <v>3</v>
      </c>
    </row>
    <row r="61" spans="1:16" x14ac:dyDescent="0.25">
      <c r="A61" t="s">
        <v>216</v>
      </c>
      <c r="B61" t="s">
        <v>35</v>
      </c>
      <c r="C61" t="s">
        <v>117</v>
      </c>
      <c r="D61" t="s">
        <v>217</v>
      </c>
      <c r="E61" t="s">
        <v>208</v>
      </c>
      <c r="F61" t="s">
        <v>120</v>
      </c>
      <c r="G61" t="s">
        <v>372</v>
      </c>
      <c r="H61" t="s">
        <v>373</v>
      </c>
      <c r="I61" s="2">
        <v>0.7</v>
      </c>
      <c r="J61" s="2">
        <v>1</v>
      </c>
      <c r="K61" s="2">
        <v>0</v>
      </c>
      <c r="L61" s="2">
        <v>0.7</v>
      </c>
      <c r="M61" s="4">
        <f t="shared" si="5"/>
        <v>3</v>
      </c>
      <c r="N61" s="4">
        <f t="shared" si="6"/>
        <v>4</v>
      </c>
      <c r="O61" s="4">
        <f t="shared" si="7"/>
        <v>0</v>
      </c>
      <c r="P61" s="4">
        <f t="shared" si="8"/>
        <v>3</v>
      </c>
    </row>
    <row r="62" spans="1:16" x14ac:dyDescent="0.25">
      <c r="A62" t="s">
        <v>218</v>
      </c>
      <c r="B62" t="s">
        <v>35</v>
      </c>
      <c r="C62" t="s">
        <v>219</v>
      </c>
      <c r="D62" t="s">
        <v>29</v>
      </c>
      <c r="E62" t="s">
        <v>220</v>
      </c>
      <c r="F62" t="s">
        <v>221</v>
      </c>
      <c r="G62" t="s">
        <v>372</v>
      </c>
      <c r="H62" t="s">
        <v>373</v>
      </c>
      <c r="I62" s="2">
        <v>0.7</v>
      </c>
      <c r="J62" s="2">
        <v>1</v>
      </c>
      <c r="K62" s="2">
        <v>0</v>
      </c>
      <c r="L62" s="2">
        <v>0.7</v>
      </c>
      <c r="M62" s="4">
        <f t="shared" si="5"/>
        <v>3</v>
      </c>
      <c r="N62" s="4">
        <f t="shared" si="6"/>
        <v>4</v>
      </c>
      <c r="O62" s="4">
        <f t="shared" si="7"/>
        <v>0</v>
      </c>
      <c r="P62" s="4">
        <f t="shared" si="8"/>
        <v>3</v>
      </c>
    </row>
    <row r="63" spans="1:16" x14ac:dyDescent="0.25">
      <c r="A63" t="s">
        <v>113</v>
      </c>
      <c r="B63" t="s">
        <v>35</v>
      </c>
      <c r="C63" t="s">
        <v>103</v>
      </c>
      <c r="D63" t="s">
        <v>114</v>
      </c>
      <c r="E63" t="s">
        <v>115</v>
      </c>
      <c r="F63" t="s">
        <v>106</v>
      </c>
      <c r="G63" t="s">
        <v>369</v>
      </c>
      <c r="H63" t="s">
        <v>357</v>
      </c>
      <c r="I63" s="2">
        <v>1</v>
      </c>
      <c r="J63" s="2">
        <v>0.7</v>
      </c>
      <c r="K63" s="2">
        <v>0</v>
      </c>
      <c r="L63" s="2">
        <v>0.7</v>
      </c>
      <c r="M63" s="4">
        <f t="shared" si="5"/>
        <v>4</v>
      </c>
      <c r="N63" s="4">
        <f t="shared" si="6"/>
        <v>3</v>
      </c>
      <c r="O63" s="4">
        <f t="shared" si="7"/>
        <v>0</v>
      </c>
      <c r="P63" s="4">
        <f t="shared" si="8"/>
        <v>3</v>
      </c>
    </row>
    <row r="64" spans="1:16" x14ac:dyDescent="0.25">
      <c r="A64" t="s">
        <v>190</v>
      </c>
      <c r="B64" t="s">
        <v>35</v>
      </c>
      <c r="C64" t="s">
        <v>37</v>
      </c>
      <c r="D64" t="s">
        <v>191</v>
      </c>
      <c r="E64" t="s">
        <v>192</v>
      </c>
      <c r="F64" t="s">
        <v>40</v>
      </c>
      <c r="G64" t="s">
        <v>369</v>
      </c>
      <c r="H64" t="s">
        <v>362</v>
      </c>
      <c r="I64" s="2">
        <v>1</v>
      </c>
      <c r="J64" s="2">
        <v>0.7</v>
      </c>
      <c r="K64" s="2">
        <v>0</v>
      </c>
      <c r="L64" s="2">
        <v>0.7</v>
      </c>
      <c r="M64" s="4">
        <f t="shared" si="5"/>
        <v>4</v>
      </c>
      <c r="N64" s="4">
        <f t="shared" si="6"/>
        <v>3</v>
      </c>
      <c r="O64" s="4">
        <f t="shared" si="7"/>
        <v>0</v>
      </c>
      <c r="P64" s="4">
        <f t="shared" si="8"/>
        <v>3</v>
      </c>
    </row>
    <row r="65" spans="1:16" x14ac:dyDescent="0.25">
      <c r="A65" t="s">
        <v>228</v>
      </c>
      <c r="B65" t="s">
        <v>35</v>
      </c>
      <c r="C65" t="s">
        <v>229</v>
      </c>
      <c r="D65" t="s">
        <v>230</v>
      </c>
      <c r="E65" t="s">
        <v>231</v>
      </c>
      <c r="F65" t="s">
        <v>232</v>
      </c>
      <c r="G65" t="s">
        <v>363</v>
      </c>
      <c r="H65" t="s">
        <v>359</v>
      </c>
      <c r="I65" s="2">
        <v>1</v>
      </c>
      <c r="J65" s="2">
        <v>1</v>
      </c>
      <c r="K65" s="2">
        <v>0.1</v>
      </c>
      <c r="L65" s="2">
        <v>0.35</v>
      </c>
      <c r="M65" s="4">
        <f t="shared" si="5"/>
        <v>4</v>
      </c>
      <c r="N65" s="4">
        <f t="shared" si="6"/>
        <v>4</v>
      </c>
      <c r="O65" s="4">
        <f t="shared" si="7"/>
        <v>1</v>
      </c>
      <c r="P65" s="4">
        <f t="shared" si="8"/>
        <v>2</v>
      </c>
    </row>
    <row r="66" spans="1:16" x14ac:dyDescent="0.25">
      <c r="A66" t="s">
        <v>233</v>
      </c>
      <c r="B66" t="s">
        <v>35</v>
      </c>
      <c r="C66" t="s">
        <v>234</v>
      </c>
      <c r="D66" t="s">
        <v>235</v>
      </c>
      <c r="E66" t="s">
        <v>236</v>
      </c>
      <c r="F66" t="s">
        <v>237</v>
      </c>
      <c r="G66" t="s">
        <v>372</v>
      </c>
      <c r="H66" t="s">
        <v>373</v>
      </c>
      <c r="I66" s="2">
        <v>0.7</v>
      </c>
      <c r="J66" s="2">
        <v>1</v>
      </c>
      <c r="K66" s="2">
        <v>0</v>
      </c>
      <c r="L66" s="2">
        <v>0.7</v>
      </c>
      <c r="M66" s="4">
        <f t="shared" ref="M66:M91" si="9">IF(I66=1,4,IF(I66=0.7,3,IF(I66=0.35,2,IF(I66=0.1,1,0))))</f>
        <v>3</v>
      </c>
      <c r="N66" s="4">
        <f t="shared" ref="N66:N91" si="10">IF(J66=1,4,IF(J66=0.7,3,IF(J66=0.35,2,IF(J66=0.1,1,0))))</f>
        <v>4</v>
      </c>
      <c r="O66" s="4">
        <f t="shared" ref="O66:O91" si="11">IF(K66=1,4,IF(K66=0.7,3,IF(K66=0.35,2,IF(K66=0.1,1,0))))</f>
        <v>0</v>
      </c>
      <c r="P66" s="4">
        <f t="shared" si="8"/>
        <v>3</v>
      </c>
    </row>
    <row r="67" spans="1:16" x14ac:dyDescent="0.25">
      <c r="A67" t="s">
        <v>238</v>
      </c>
      <c r="B67" t="s">
        <v>35</v>
      </c>
      <c r="C67" t="s">
        <v>239</v>
      </c>
      <c r="D67" t="s">
        <v>18</v>
      </c>
      <c r="E67" t="s">
        <v>240</v>
      </c>
      <c r="F67" t="s">
        <v>241</v>
      </c>
      <c r="G67" t="s">
        <v>368</v>
      </c>
      <c r="H67" t="s">
        <v>359</v>
      </c>
      <c r="I67" s="2">
        <v>0.7</v>
      </c>
      <c r="J67" s="2">
        <v>1</v>
      </c>
      <c r="K67" s="2">
        <v>0.1</v>
      </c>
      <c r="L67" s="2">
        <v>0.7</v>
      </c>
      <c r="M67" s="4">
        <f t="shared" si="9"/>
        <v>3</v>
      </c>
      <c r="N67" s="4">
        <f t="shared" si="10"/>
        <v>4</v>
      </c>
      <c r="O67" s="4">
        <f t="shared" si="11"/>
        <v>1</v>
      </c>
      <c r="P67" s="4">
        <f t="shared" si="8"/>
        <v>3</v>
      </c>
    </row>
    <row r="68" spans="1:16" x14ac:dyDescent="0.25">
      <c r="A68" t="s">
        <v>299</v>
      </c>
      <c r="B68" t="s">
        <v>35</v>
      </c>
      <c r="C68" t="s">
        <v>180</v>
      </c>
      <c r="D68" t="s">
        <v>300</v>
      </c>
      <c r="E68" t="s">
        <v>301</v>
      </c>
      <c r="F68" t="s">
        <v>183</v>
      </c>
      <c r="G68" t="s">
        <v>372</v>
      </c>
      <c r="H68" t="s">
        <v>373</v>
      </c>
      <c r="I68" s="2">
        <v>0.7</v>
      </c>
      <c r="J68" s="2">
        <v>1</v>
      </c>
      <c r="K68" s="2">
        <v>0.1</v>
      </c>
      <c r="L68" s="2">
        <v>0.7</v>
      </c>
      <c r="M68" s="4">
        <f t="shared" si="9"/>
        <v>3</v>
      </c>
      <c r="N68" s="4">
        <f t="shared" si="10"/>
        <v>4</v>
      </c>
      <c r="O68" s="4">
        <f t="shared" si="11"/>
        <v>1</v>
      </c>
      <c r="P68" s="4">
        <f t="shared" si="8"/>
        <v>3</v>
      </c>
    </row>
    <row r="69" spans="1:16" x14ac:dyDescent="0.25">
      <c r="A69" t="s">
        <v>244</v>
      </c>
      <c r="B69" t="s">
        <v>35</v>
      </c>
      <c r="C69" t="s">
        <v>245</v>
      </c>
      <c r="D69" t="s">
        <v>246</v>
      </c>
      <c r="E69" t="s">
        <v>247</v>
      </c>
      <c r="F69" t="s">
        <v>248</v>
      </c>
      <c r="G69" t="s">
        <v>374</v>
      </c>
      <c r="H69" t="s">
        <v>362</v>
      </c>
      <c r="I69" s="2">
        <v>0.7</v>
      </c>
      <c r="J69" s="2">
        <v>1</v>
      </c>
      <c r="K69" s="2">
        <v>0</v>
      </c>
      <c r="L69" s="2">
        <v>0.7</v>
      </c>
      <c r="M69" s="4">
        <f t="shared" si="9"/>
        <v>3</v>
      </c>
      <c r="N69" s="4">
        <f t="shared" si="10"/>
        <v>4</v>
      </c>
      <c r="O69" s="4">
        <f t="shared" si="11"/>
        <v>0</v>
      </c>
      <c r="P69" s="4">
        <f t="shared" si="8"/>
        <v>3</v>
      </c>
    </row>
    <row r="70" spans="1:16" x14ac:dyDescent="0.25">
      <c r="A70" t="s">
        <v>307</v>
      </c>
      <c r="B70" t="s">
        <v>35</v>
      </c>
      <c r="C70" t="s">
        <v>267</v>
      </c>
      <c r="D70" t="s">
        <v>308</v>
      </c>
      <c r="E70" t="s">
        <v>208</v>
      </c>
      <c r="F70" t="s">
        <v>270</v>
      </c>
      <c r="G70" t="s">
        <v>372</v>
      </c>
      <c r="H70" t="s">
        <v>373</v>
      </c>
      <c r="I70" s="2">
        <v>0.7</v>
      </c>
      <c r="J70" s="2">
        <v>1</v>
      </c>
      <c r="K70" s="2">
        <v>0</v>
      </c>
      <c r="L70" s="2">
        <v>0.7</v>
      </c>
      <c r="M70" s="4">
        <f t="shared" si="9"/>
        <v>3</v>
      </c>
      <c r="N70" s="4">
        <f t="shared" si="10"/>
        <v>4</v>
      </c>
      <c r="O70" s="4">
        <f t="shared" si="11"/>
        <v>0</v>
      </c>
      <c r="P70" s="4">
        <f t="shared" si="8"/>
        <v>3</v>
      </c>
    </row>
    <row r="71" spans="1:16" x14ac:dyDescent="0.25">
      <c r="A71" t="s">
        <v>251</v>
      </c>
      <c r="B71" t="s">
        <v>35</v>
      </c>
      <c r="C71" t="s">
        <v>219</v>
      </c>
      <c r="D71" t="s">
        <v>252</v>
      </c>
      <c r="E71" t="s">
        <v>208</v>
      </c>
      <c r="F71" t="s">
        <v>221</v>
      </c>
      <c r="G71" t="s">
        <v>372</v>
      </c>
      <c r="H71" t="s">
        <v>373</v>
      </c>
      <c r="I71" s="2">
        <v>0.7</v>
      </c>
      <c r="J71" s="2">
        <v>0.7</v>
      </c>
      <c r="K71" s="2">
        <v>0</v>
      </c>
      <c r="L71" s="2">
        <v>0.7</v>
      </c>
      <c r="M71" s="4">
        <f t="shared" si="9"/>
        <v>3</v>
      </c>
      <c r="N71" s="4">
        <f t="shared" si="10"/>
        <v>3</v>
      </c>
      <c r="O71" s="4">
        <f t="shared" si="11"/>
        <v>0</v>
      </c>
      <c r="P71" s="4">
        <f t="shared" si="8"/>
        <v>3</v>
      </c>
    </row>
    <row r="72" spans="1:16" x14ac:dyDescent="0.25">
      <c r="A72" t="s">
        <v>253</v>
      </c>
      <c r="B72" t="s">
        <v>35</v>
      </c>
      <c r="C72" t="s">
        <v>245</v>
      </c>
      <c r="D72" t="s">
        <v>13</v>
      </c>
      <c r="E72" t="s">
        <v>254</v>
      </c>
      <c r="F72" t="s">
        <v>248</v>
      </c>
      <c r="G72" t="s">
        <v>374</v>
      </c>
      <c r="H72" t="s">
        <v>362</v>
      </c>
      <c r="I72" s="2">
        <v>0.7</v>
      </c>
      <c r="J72" s="2">
        <v>0.7</v>
      </c>
      <c r="K72" s="2">
        <v>0</v>
      </c>
      <c r="L72" s="2">
        <v>0.7</v>
      </c>
      <c r="M72" s="4">
        <f t="shared" si="9"/>
        <v>3</v>
      </c>
      <c r="N72" s="4">
        <f t="shared" si="10"/>
        <v>3</v>
      </c>
      <c r="O72" s="4">
        <f t="shared" si="11"/>
        <v>0</v>
      </c>
      <c r="P72" s="4">
        <f t="shared" si="8"/>
        <v>3</v>
      </c>
    </row>
    <row r="73" spans="1:16" x14ac:dyDescent="0.25">
      <c r="A73" t="s">
        <v>275</v>
      </c>
      <c r="B73" t="s">
        <v>35</v>
      </c>
      <c r="C73" t="s">
        <v>245</v>
      </c>
      <c r="D73" t="s">
        <v>24</v>
      </c>
      <c r="E73" t="s">
        <v>276</v>
      </c>
      <c r="F73" t="s">
        <v>248</v>
      </c>
      <c r="G73" t="s">
        <v>374</v>
      </c>
      <c r="H73" t="s">
        <v>362</v>
      </c>
      <c r="I73" s="2">
        <v>0.7</v>
      </c>
      <c r="J73" s="2">
        <v>0.7</v>
      </c>
      <c r="K73" s="2">
        <v>0.1</v>
      </c>
      <c r="L73" s="2">
        <v>0.7</v>
      </c>
      <c r="M73" s="4">
        <f t="shared" si="9"/>
        <v>3</v>
      </c>
      <c r="N73" s="4">
        <f t="shared" si="10"/>
        <v>3</v>
      </c>
      <c r="O73" s="4">
        <f t="shared" si="11"/>
        <v>1</v>
      </c>
      <c r="P73" s="4">
        <f t="shared" si="8"/>
        <v>3</v>
      </c>
    </row>
    <row r="74" spans="1:16" x14ac:dyDescent="0.25">
      <c r="A74" t="s">
        <v>257</v>
      </c>
      <c r="B74" t="s">
        <v>35</v>
      </c>
      <c r="C74" t="s">
        <v>258</v>
      </c>
      <c r="D74" t="s">
        <v>259</v>
      </c>
      <c r="E74" t="s">
        <v>260</v>
      </c>
      <c r="F74" t="s">
        <v>261</v>
      </c>
      <c r="G74" t="s">
        <v>361</v>
      </c>
      <c r="H74" t="s">
        <v>359</v>
      </c>
      <c r="I74" s="2">
        <v>0.7</v>
      </c>
      <c r="J74" s="2">
        <v>0.7</v>
      </c>
      <c r="K74" s="2">
        <v>0</v>
      </c>
      <c r="L74" s="2">
        <v>0.7</v>
      </c>
      <c r="M74" s="4">
        <f t="shared" si="9"/>
        <v>3</v>
      </c>
      <c r="N74" s="4">
        <f t="shared" si="10"/>
        <v>3</v>
      </c>
      <c r="O74" s="4">
        <f t="shared" si="11"/>
        <v>0</v>
      </c>
      <c r="P74" s="4">
        <f t="shared" si="8"/>
        <v>3</v>
      </c>
    </row>
    <row r="75" spans="1:16" x14ac:dyDescent="0.25">
      <c r="A75" t="s">
        <v>262</v>
      </c>
      <c r="B75" t="s">
        <v>35</v>
      </c>
      <c r="C75" t="s">
        <v>263</v>
      </c>
      <c r="D75" t="s">
        <v>264</v>
      </c>
      <c r="E75" t="s">
        <v>208</v>
      </c>
      <c r="F75" t="s">
        <v>265</v>
      </c>
      <c r="G75" t="s">
        <v>372</v>
      </c>
      <c r="H75" t="s">
        <v>373</v>
      </c>
      <c r="I75" s="2">
        <v>0.7</v>
      </c>
      <c r="J75" s="2">
        <v>0.7</v>
      </c>
      <c r="K75" s="2">
        <v>0.1</v>
      </c>
      <c r="L75" s="2">
        <v>0.7</v>
      </c>
      <c r="M75" s="4">
        <f t="shared" si="9"/>
        <v>3</v>
      </c>
      <c r="N75" s="4">
        <f t="shared" si="10"/>
        <v>3</v>
      </c>
      <c r="O75" s="4">
        <f t="shared" si="11"/>
        <v>1</v>
      </c>
      <c r="P75" s="4">
        <f t="shared" si="8"/>
        <v>3</v>
      </c>
    </row>
    <row r="76" spans="1:16" x14ac:dyDescent="0.25">
      <c r="A76" t="s">
        <v>333</v>
      </c>
      <c r="B76" t="s">
        <v>35</v>
      </c>
      <c r="C76" t="s">
        <v>64</v>
      </c>
      <c r="D76" t="s">
        <v>334</v>
      </c>
      <c r="E76" t="s">
        <v>335</v>
      </c>
      <c r="F76" t="s">
        <v>67</v>
      </c>
      <c r="G76" t="s">
        <v>372</v>
      </c>
      <c r="H76" t="s">
        <v>373</v>
      </c>
      <c r="I76" s="2">
        <v>0.7</v>
      </c>
      <c r="J76" s="2">
        <v>0.7</v>
      </c>
      <c r="K76" s="2">
        <v>0</v>
      </c>
      <c r="L76" s="2">
        <v>0.7</v>
      </c>
      <c r="M76" s="4">
        <f t="shared" si="9"/>
        <v>3</v>
      </c>
      <c r="N76" s="4">
        <f t="shared" si="10"/>
        <v>3</v>
      </c>
      <c r="O76" s="4">
        <f t="shared" si="11"/>
        <v>0</v>
      </c>
      <c r="P76" s="4">
        <f t="shared" si="8"/>
        <v>3</v>
      </c>
    </row>
    <row r="77" spans="1:16" x14ac:dyDescent="0.25">
      <c r="A77" t="s">
        <v>285</v>
      </c>
      <c r="B77" t="s">
        <v>35</v>
      </c>
      <c r="C77" t="s">
        <v>239</v>
      </c>
      <c r="D77" t="s">
        <v>16</v>
      </c>
      <c r="E77" t="s">
        <v>286</v>
      </c>
      <c r="F77" t="s">
        <v>241</v>
      </c>
      <c r="G77" t="s">
        <v>361</v>
      </c>
      <c r="H77" t="s">
        <v>359</v>
      </c>
      <c r="I77" s="2">
        <v>0.7</v>
      </c>
      <c r="J77" s="2">
        <v>1</v>
      </c>
      <c r="K77" s="2">
        <v>0</v>
      </c>
      <c r="L77" s="2">
        <v>0.7</v>
      </c>
      <c r="M77" s="4">
        <f t="shared" si="9"/>
        <v>3</v>
      </c>
      <c r="N77" s="4">
        <f t="shared" si="10"/>
        <v>4</v>
      </c>
      <c r="O77" s="4">
        <f t="shared" si="11"/>
        <v>0</v>
      </c>
      <c r="P77" s="4">
        <f t="shared" si="8"/>
        <v>3</v>
      </c>
    </row>
    <row r="78" spans="1:16" x14ac:dyDescent="0.25">
      <c r="A78" t="s">
        <v>287</v>
      </c>
      <c r="B78" t="s">
        <v>35</v>
      </c>
      <c r="C78" t="s">
        <v>288</v>
      </c>
      <c r="D78" t="s">
        <v>289</v>
      </c>
      <c r="E78" t="s">
        <v>290</v>
      </c>
      <c r="F78" t="s">
        <v>291</v>
      </c>
      <c r="G78" t="s">
        <v>369</v>
      </c>
      <c r="H78" t="s">
        <v>371</v>
      </c>
      <c r="I78" s="2">
        <v>0.7</v>
      </c>
      <c r="J78" s="2">
        <v>1</v>
      </c>
      <c r="K78" s="2">
        <v>0</v>
      </c>
      <c r="L78" s="2">
        <v>0.7</v>
      </c>
      <c r="M78" s="4">
        <f t="shared" si="9"/>
        <v>3</v>
      </c>
      <c r="N78" s="4">
        <f t="shared" si="10"/>
        <v>4</v>
      </c>
      <c r="O78" s="4">
        <f t="shared" si="11"/>
        <v>0</v>
      </c>
      <c r="P78" s="4">
        <f t="shared" ref="P78:P91" si="12">IF(L78=1,4,IF(L78=0.7,3,IF(L78=0.35,2,IF(L78=0.1,1,0))))</f>
        <v>3</v>
      </c>
    </row>
    <row r="79" spans="1:16" x14ac:dyDescent="0.25">
      <c r="A79" t="s">
        <v>292</v>
      </c>
      <c r="B79" t="s">
        <v>35</v>
      </c>
      <c r="C79" t="s">
        <v>293</v>
      </c>
      <c r="D79" t="s">
        <v>294</v>
      </c>
      <c r="E79" t="s">
        <v>295</v>
      </c>
      <c r="F79" t="s">
        <v>296</v>
      </c>
      <c r="G79" t="s">
        <v>372</v>
      </c>
      <c r="H79" t="s">
        <v>373</v>
      </c>
      <c r="I79" s="2">
        <v>0.7</v>
      </c>
      <c r="J79" s="2">
        <v>0.7</v>
      </c>
      <c r="K79" s="2">
        <v>0</v>
      </c>
      <c r="L79" s="2">
        <v>0.7</v>
      </c>
      <c r="M79" s="4">
        <f t="shared" si="9"/>
        <v>3</v>
      </c>
      <c r="N79" s="4">
        <f t="shared" si="10"/>
        <v>3</v>
      </c>
      <c r="O79" s="4">
        <f t="shared" si="11"/>
        <v>0</v>
      </c>
      <c r="P79" s="4">
        <f t="shared" si="12"/>
        <v>3</v>
      </c>
    </row>
    <row r="80" spans="1:16" x14ac:dyDescent="0.25">
      <c r="A80" t="s">
        <v>297</v>
      </c>
      <c r="B80" t="s">
        <v>35</v>
      </c>
      <c r="C80" t="s">
        <v>293</v>
      </c>
      <c r="D80" t="s">
        <v>298</v>
      </c>
      <c r="E80" t="s">
        <v>295</v>
      </c>
      <c r="F80" t="s">
        <v>296</v>
      </c>
      <c r="G80" t="s">
        <v>372</v>
      </c>
      <c r="H80" t="s">
        <v>373</v>
      </c>
      <c r="I80" s="2">
        <v>0.7</v>
      </c>
      <c r="J80" s="2">
        <v>0.7</v>
      </c>
      <c r="K80" s="2">
        <v>0</v>
      </c>
      <c r="L80" s="2">
        <v>0.7</v>
      </c>
      <c r="M80" s="4">
        <f t="shared" si="9"/>
        <v>3</v>
      </c>
      <c r="N80" s="4">
        <f t="shared" si="10"/>
        <v>3</v>
      </c>
      <c r="O80" s="4">
        <f t="shared" si="11"/>
        <v>0</v>
      </c>
      <c r="P80" s="4">
        <f t="shared" si="12"/>
        <v>3</v>
      </c>
    </row>
    <row r="81" spans="1:16" x14ac:dyDescent="0.25">
      <c r="A81" t="s">
        <v>302</v>
      </c>
      <c r="B81" t="s">
        <v>35</v>
      </c>
      <c r="C81" t="s">
        <v>303</v>
      </c>
      <c r="D81" t="s">
        <v>304</v>
      </c>
      <c r="E81" t="s">
        <v>305</v>
      </c>
      <c r="F81" t="s">
        <v>306</v>
      </c>
      <c r="G81" t="s">
        <v>374</v>
      </c>
      <c r="H81" t="s">
        <v>359</v>
      </c>
      <c r="I81" s="2">
        <v>0.7</v>
      </c>
      <c r="J81" s="2">
        <v>0.7</v>
      </c>
      <c r="K81" s="2">
        <v>0</v>
      </c>
      <c r="L81" s="2">
        <v>0.7</v>
      </c>
      <c r="M81" s="4">
        <f t="shared" si="9"/>
        <v>3</v>
      </c>
      <c r="N81" s="4">
        <f t="shared" si="10"/>
        <v>3</v>
      </c>
      <c r="O81" s="4">
        <f t="shared" si="11"/>
        <v>0</v>
      </c>
      <c r="P81" s="4">
        <f t="shared" si="12"/>
        <v>3</v>
      </c>
    </row>
    <row r="82" spans="1:16" x14ac:dyDescent="0.25">
      <c r="A82" t="s">
        <v>225</v>
      </c>
      <c r="B82" t="s">
        <v>35</v>
      </c>
      <c r="C82" t="s">
        <v>91</v>
      </c>
      <c r="D82" t="s">
        <v>226</v>
      </c>
      <c r="E82" t="s">
        <v>227</v>
      </c>
      <c r="F82" t="s">
        <v>94</v>
      </c>
      <c r="G82" t="s">
        <v>361</v>
      </c>
      <c r="H82" t="s">
        <v>357</v>
      </c>
      <c r="I82" s="2">
        <v>1</v>
      </c>
      <c r="J82" s="2">
        <v>0.7</v>
      </c>
      <c r="K82" s="2">
        <v>0</v>
      </c>
      <c r="L82" s="2">
        <v>0.35</v>
      </c>
      <c r="M82" s="4">
        <f t="shared" si="9"/>
        <v>4</v>
      </c>
      <c r="N82" s="4">
        <f t="shared" si="10"/>
        <v>3</v>
      </c>
      <c r="O82" s="4">
        <f t="shared" si="11"/>
        <v>0</v>
      </c>
      <c r="P82" s="4">
        <f t="shared" si="12"/>
        <v>2</v>
      </c>
    </row>
    <row r="83" spans="1:16" x14ac:dyDescent="0.25">
      <c r="A83" t="s">
        <v>322</v>
      </c>
      <c r="B83" t="s">
        <v>35</v>
      </c>
      <c r="C83" t="s">
        <v>288</v>
      </c>
      <c r="D83" t="s">
        <v>323</v>
      </c>
      <c r="E83" t="s">
        <v>324</v>
      </c>
      <c r="F83" t="s">
        <v>291</v>
      </c>
      <c r="G83" t="s">
        <v>374</v>
      </c>
      <c r="H83" t="s">
        <v>371</v>
      </c>
      <c r="I83" s="2">
        <v>0.7</v>
      </c>
      <c r="J83" s="2">
        <v>0.7</v>
      </c>
      <c r="K83" s="2">
        <v>0</v>
      </c>
      <c r="L83" s="2">
        <v>0.7</v>
      </c>
      <c r="M83" s="4">
        <f t="shared" si="9"/>
        <v>3</v>
      </c>
      <c r="N83" s="4">
        <f t="shared" si="10"/>
        <v>3</v>
      </c>
      <c r="O83" s="4">
        <f t="shared" si="11"/>
        <v>0</v>
      </c>
      <c r="P83" s="4">
        <f t="shared" si="12"/>
        <v>3</v>
      </c>
    </row>
    <row r="84" spans="1:16" x14ac:dyDescent="0.25">
      <c r="A84" t="s">
        <v>336</v>
      </c>
      <c r="B84" t="s">
        <v>35</v>
      </c>
      <c r="C84" t="s">
        <v>229</v>
      </c>
      <c r="D84" t="s">
        <v>337</v>
      </c>
      <c r="E84" t="s">
        <v>338</v>
      </c>
      <c r="F84" t="s">
        <v>232</v>
      </c>
      <c r="G84" t="s">
        <v>361</v>
      </c>
      <c r="H84" t="s">
        <v>359</v>
      </c>
      <c r="I84" s="2">
        <v>1</v>
      </c>
      <c r="J84" s="2">
        <v>0.35</v>
      </c>
      <c r="K84" s="2">
        <v>0</v>
      </c>
      <c r="L84" s="2">
        <v>0.35</v>
      </c>
      <c r="M84" s="4">
        <f t="shared" si="9"/>
        <v>4</v>
      </c>
      <c r="N84" s="4">
        <f t="shared" si="10"/>
        <v>2</v>
      </c>
      <c r="O84" s="4">
        <f t="shared" si="11"/>
        <v>0</v>
      </c>
      <c r="P84" s="4">
        <f t="shared" si="12"/>
        <v>2</v>
      </c>
    </row>
    <row r="85" spans="1:16" x14ac:dyDescent="0.25">
      <c r="A85" t="s">
        <v>325</v>
      </c>
      <c r="B85" t="s">
        <v>35</v>
      </c>
      <c r="C85" t="s">
        <v>103</v>
      </c>
      <c r="D85" t="s">
        <v>326</v>
      </c>
      <c r="E85" t="s">
        <v>327</v>
      </c>
      <c r="F85" t="s">
        <v>106</v>
      </c>
      <c r="G85" t="s">
        <v>361</v>
      </c>
      <c r="H85" t="s">
        <v>357</v>
      </c>
      <c r="I85" s="2">
        <v>0.7</v>
      </c>
      <c r="J85" s="2">
        <v>1</v>
      </c>
      <c r="K85" s="2">
        <v>0</v>
      </c>
      <c r="L85" s="2">
        <v>0.35</v>
      </c>
      <c r="M85" s="4">
        <f t="shared" si="9"/>
        <v>3</v>
      </c>
      <c r="N85" s="4">
        <f t="shared" si="10"/>
        <v>4</v>
      </c>
      <c r="O85" s="4">
        <f t="shared" si="11"/>
        <v>0</v>
      </c>
      <c r="P85" s="4">
        <f t="shared" si="12"/>
        <v>2</v>
      </c>
    </row>
    <row r="86" spans="1:16" x14ac:dyDescent="0.25">
      <c r="A86" t="s">
        <v>342</v>
      </c>
      <c r="B86" t="s">
        <v>35</v>
      </c>
      <c r="C86" t="s">
        <v>343</v>
      </c>
      <c r="D86" t="s">
        <v>140</v>
      </c>
      <c r="E86" t="s">
        <v>344</v>
      </c>
      <c r="F86" t="s">
        <v>345</v>
      </c>
      <c r="G86" t="s">
        <v>372</v>
      </c>
      <c r="H86" t="s">
        <v>359</v>
      </c>
      <c r="I86" s="2">
        <v>0.7</v>
      </c>
      <c r="J86" s="2">
        <v>0.7</v>
      </c>
      <c r="K86" s="2">
        <v>0</v>
      </c>
      <c r="L86" s="2">
        <v>0.35</v>
      </c>
      <c r="M86" s="4">
        <f t="shared" si="9"/>
        <v>3</v>
      </c>
      <c r="N86" s="4">
        <f t="shared" si="10"/>
        <v>3</v>
      </c>
      <c r="O86" s="4">
        <f t="shared" si="11"/>
        <v>0</v>
      </c>
      <c r="P86" s="4">
        <f t="shared" si="12"/>
        <v>2</v>
      </c>
    </row>
    <row r="87" spans="1:16" x14ac:dyDescent="0.25">
      <c r="A87" t="s">
        <v>277</v>
      </c>
      <c r="B87" t="s">
        <v>35</v>
      </c>
      <c r="C87" t="s">
        <v>154</v>
      </c>
      <c r="D87" t="s">
        <v>278</v>
      </c>
      <c r="E87" t="s">
        <v>279</v>
      </c>
      <c r="F87" t="s">
        <v>157</v>
      </c>
      <c r="G87" t="s">
        <v>372</v>
      </c>
      <c r="H87" t="s">
        <v>359</v>
      </c>
      <c r="I87" s="2">
        <v>0.7</v>
      </c>
      <c r="J87" s="2">
        <v>0.35</v>
      </c>
      <c r="K87" s="2">
        <v>0</v>
      </c>
      <c r="L87" s="2">
        <v>0.35</v>
      </c>
      <c r="M87" s="4">
        <f t="shared" si="9"/>
        <v>3</v>
      </c>
      <c r="N87" s="4">
        <f t="shared" si="10"/>
        <v>2</v>
      </c>
      <c r="O87" s="4">
        <f t="shared" si="11"/>
        <v>0</v>
      </c>
      <c r="P87" s="4">
        <f t="shared" si="12"/>
        <v>2</v>
      </c>
    </row>
    <row r="88" spans="1:16" x14ac:dyDescent="0.25">
      <c r="A88" t="s">
        <v>339</v>
      </c>
      <c r="B88" t="s">
        <v>35</v>
      </c>
      <c r="C88" t="s">
        <v>263</v>
      </c>
      <c r="D88" t="s">
        <v>340</v>
      </c>
      <c r="E88" t="s">
        <v>341</v>
      </c>
      <c r="F88" t="s">
        <v>265</v>
      </c>
      <c r="G88" t="s">
        <v>366</v>
      </c>
      <c r="H88" t="s">
        <v>359</v>
      </c>
      <c r="I88" s="2">
        <v>0.7</v>
      </c>
      <c r="J88" s="2">
        <v>0.35</v>
      </c>
      <c r="K88" s="2">
        <v>0</v>
      </c>
      <c r="L88" s="2">
        <v>0.35</v>
      </c>
      <c r="M88" s="4">
        <f t="shared" si="9"/>
        <v>3</v>
      </c>
      <c r="N88" s="4">
        <f t="shared" si="10"/>
        <v>2</v>
      </c>
      <c r="O88" s="4">
        <f t="shared" si="11"/>
        <v>0</v>
      </c>
      <c r="P88" s="4">
        <f t="shared" si="12"/>
        <v>2</v>
      </c>
    </row>
    <row r="89" spans="1:16" x14ac:dyDescent="0.25">
      <c r="A89" t="s">
        <v>271</v>
      </c>
      <c r="B89" t="s">
        <v>35</v>
      </c>
      <c r="C89" t="s">
        <v>272</v>
      </c>
      <c r="D89" t="s">
        <v>31</v>
      </c>
      <c r="E89" t="s">
        <v>273</v>
      </c>
      <c r="F89" t="s">
        <v>274</v>
      </c>
      <c r="G89" t="s">
        <v>361</v>
      </c>
      <c r="H89" t="s">
        <v>359</v>
      </c>
      <c r="I89" s="2">
        <v>0.7</v>
      </c>
      <c r="J89" s="2">
        <v>0.35</v>
      </c>
      <c r="K89" s="2">
        <v>0</v>
      </c>
      <c r="L89" s="2">
        <v>0.35</v>
      </c>
      <c r="M89" s="4">
        <f t="shared" si="9"/>
        <v>3</v>
      </c>
      <c r="N89" s="4">
        <f t="shared" si="10"/>
        <v>2</v>
      </c>
      <c r="O89" s="4">
        <f t="shared" si="11"/>
        <v>0</v>
      </c>
      <c r="P89" s="4">
        <f t="shared" si="12"/>
        <v>2</v>
      </c>
    </row>
    <row r="90" spans="1:16" x14ac:dyDescent="0.25">
      <c r="A90" t="s">
        <v>328</v>
      </c>
      <c r="B90" t="s">
        <v>35</v>
      </c>
      <c r="C90" t="s">
        <v>329</v>
      </c>
      <c r="D90" t="s">
        <v>330</v>
      </c>
      <c r="E90" t="s">
        <v>331</v>
      </c>
      <c r="F90" t="s">
        <v>332</v>
      </c>
      <c r="G90" t="s">
        <v>361</v>
      </c>
      <c r="H90" t="s">
        <v>359</v>
      </c>
      <c r="I90" s="2">
        <v>0.35</v>
      </c>
      <c r="J90" s="2">
        <v>0.7</v>
      </c>
      <c r="K90" s="2">
        <v>0</v>
      </c>
      <c r="L90" s="2">
        <v>0.35</v>
      </c>
      <c r="M90" s="4">
        <f t="shared" si="9"/>
        <v>2</v>
      </c>
      <c r="N90" s="4">
        <f t="shared" si="10"/>
        <v>3</v>
      </c>
      <c r="O90" s="4">
        <f t="shared" si="11"/>
        <v>0</v>
      </c>
      <c r="P90" s="4">
        <f t="shared" si="12"/>
        <v>2</v>
      </c>
    </row>
    <row r="91" spans="1:16" x14ac:dyDescent="0.25">
      <c r="A91" t="s">
        <v>349</v>
      </c>
      <c r="B91" t="s">
        <v>35</v>
      </c>
      <c r="C91" t="s">
        <v>350</v>
      </c>
      <c r="D91" t="s">
        <v>351</v>
      </c>
      <c r="E91" t="s">
        <v>208</v>
      </c>
      <c r="F91" t="s">
        <v>352</v>
      </c>
      <c r="G91" t="s">
        <v>372</v>
      </c>
      <c r="H91" t="s">
        <v>373</v>
      </c>
      <c r="I91" s="2">
        <v>0.35</v>
      </c>
      <c r="J91" s="2">
        <v>0.1</v>
      </c>
      <c r="K91" s="2">
        <v>0</v>
      </c>
      <c r="L91" s="2">
        <v>0.35</v>
      </c>
      <c r="M91" s="4">
        <f t="shared" si="9"/>
        <v>2</v>
      </c>
      <c r="N91" s="4">
        <f t="shared" si="10"/>
        <v>1</v>
      </c>
      <c r="O91" s="4">
        <f t="shared" si="11"/>
        <v>0</v>
      </c>
      <c r="P91" s="4">
        <f t="shared" si="12"/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1"/>
  <sheetViews>
    <sheetView workbookViewId="0">
      <pane ySplit="1" topLeftCell="A2" activePane="bottomLeft" state="frozen"/>
      <selection pane="bottomLeft" activeCell="G1" sqref="G1:H1"/>
    </sheetView>
  </sheetViews>
  <sheetFormatPr defaultColWidth="26.28515625" defaultRowHeight="15" x14ac:dyDescent="0.25"/>
  <cols>
    <col min="1" max="1" width="12.5703125" bestFit="1" customWidth="1"/>
    <col min="2" max="2" width="10.5703125" bestFit="1" customWidth="1"/>
    <col min="3" max="3" width="7.5703125" bestFit="1" customWidth="1"/>
    <col min="4" max="4" width="6.140625" bestFit="1" customWidth="1"/>
    <col min="5" max="5" width="68.28515625" bestFit="1" customWidth="1"/>
    <col min="6" max="6" width="48" bestFit="1" customWidth="1"/>
    <col min="7" max="7" width="26.7109375" bestFit="1" customWidth="1"/>
    <col min="8" max="8" width="35" bestFit="1" customWidth="1"/>
    <col min="9" max="12" width="17.7109375" customWidth="1"/>
    <col min="13" max="16" width="10.7109375" customWidth="1"/>
  </cols>
  <sheetData>
    <row r="1" spans="1:16" x14ac:dyDescent="0.25">
      <c r="A1" s="6" t="s">
        <v>353</v>
      </c>
      <c r="B1" s="6" t="s">
        <v>354</v>
      </c>
      <c r="C1" s="6" t="s">
        <v>32</v>
      </c>
      <c r="D1" s="6" t="s">
        <v>9</v>
      </c>
      <c r="E1" s="6" t="s">
        <v>33</v>
      </c>
      <c r="F1" s="6" t="s">
        <v>34</v>
      </c>
      <c r="G1" s="6" t="s">
        <v>355</v>
      </c>
      <c r="H1" s="6" t="s">
        <v>356</v>
      </c>
      <c r="I1" s="1" t="s">
        <v>0</v>
      </c>
      <c r="J1" s="1" t="s">
        <v>1</v>
      </c>
      <c r="K1" s="1" t="s">
        <v>2</v>
      </c>
      <c r="L1" s="1" t="s">
        <v>3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 x14ac:dyDescent="0.25">
      <c r="A2" t="s">
        <v>199</v>
      </c>
      <c r="B2" t="s">
        <v>35</v>
      </c>
      <c r="C2" t="s">
        <v>139</v>
      </c>
      <c r="D2" t="s">
        <v>200</v>
      </c>
      <c r="E2" t="s">
        <v>201</v>
      </c>
      <c r="F2" t="s">
        <v>142</v>
      </c>
      <c r="G2" t="s">
        <v>369</v>
      </c>
      <c r="H2" t="s">
        <v>359</v>
      </c>
      <c r="I2" s="2">
        <v>1</v>
      </c>
      <c r="J2" s="2">
        <v>1</v>
      </c>
      <c r="K2" s="2">
        <v>1</v>
      </c>
      <c r="L2" s="2">
        <v>1</v>
      </c>
      <c r="M2" s="4">
        <f>IF(I2=1,4,IF(I2=0.7,3,IF(I2=0.35,2,IF(I2=0.1,1,0))))</f>
        <v>4</v>
      </c>
      <c r="N2" s="4">
        <f>IF(J2=1,4,IF(J2=0.7,3,IF(J2=0.35,2,IF(J2=0.1,1,0))))</f>
        <v>4</v>
      </c>
      <c r="O2" s="4">
        <f>IF(K2=1,4,IF(K2=0.7,3,IF(K2=0.35,2,IF(K2=0.1,1,0))))</f>
        <v>4</v>
      </c>
      <c r="P2" s="4">
        <f>IF(L2=1,4,IF(L2=0.7,3,IF(L2=0.35,2,IF(L2=0.1,1,0))))</f>
        <v>4</v>
      </c>
    </row>
    <row r="3" spans="1:16" x14ac:dyDescent="0.25">
      <c r="A3" t="s">
        <v>125</v>
      </c>
      <c r="B3" t="s">
        <v>35</v>
      </c>
      <c r="C3" t="s">
        <v>126</v>
      </c>
      <c r="D3" t="s">
        <v>70</v>
      </c>
      <c r="E3" t="s">
        <v>127</v>
      </c>
      <c r="F3" t="s">
        <v>128</v>
      </c>
      <c r="G3" t="s">
        <v>370</v>
      </c>
      <c r="H3" t="s">
        <v>371</v>
      </c>
      <c r="I3" s="2">
        <v>1</v>
      </c>
      <c r="J3" s="2">
        <v>1</v>
      </c>
      <c r="K3" s="2">
        <v>0</v>
      </c>
      <c r="L3" s="2">
        <v>1</v>
      </c>
      <c r="M3" s="4">
        <f t="shared" ref="M3:M34" si="0">IF(I3=1,4,IF(I3=0.7,3,IF(I3=0.35,2,IF(I3=0.1,1,0))))</f>
        <v>4</v>
      </c>
      <c r="N3" s="4">
        <f t="shared" ref="N3:N34" si="1">IF(J3=1,4,IF(J3=0.7,3,IF(J3=0.35,2,IF(J3=0.1,1,0))))</f>
        <v>4</v>
      </c>
      <c r="O3" s="4">
        <f t="shared" ref="O3:O34" si="2">IF(K3=1,4,IF(K3=0.7,3,IF(K3=0.35,2,IF(K3=0.1,1,0))))</f>
        <v>0</v>
      </c>
      <c r="P3" s="4">
        <f t="shared" ref="P3:P28" si="3">IF(L3=1,4,IF(L3=0.7,3,IF(L3=0.35,2,IF(L3=0.1,1,0))))</f>
        <v>4</v>
      </c>
    </row>
    <row r="4" spans="1:16" x14ac:dyDescent="0.25">
      <c r="A4" t="s">
        <v>36</v>
      </c>
      <c r="B4" t="s">
        <v>35</v>
      </c>
      <c r="C4" t="s">
        <v>37</v>
      </c>
      <c r="D4" t="s">
        <v>38</v>
      </c>
      <c r="E4" t="s">
        <v>39</v>
      </c>
      <c r="F4" t="s">
        <v>40</v>
      </c>
      <c r="G4" t="s">
        <v>360</v>
      </c>
      <c r="H4" t="s">
        <v>357</v>
      </c>
      <c r="I4" s="2">
        <v>1</v>
      </c>
      <c r="J4" s="2">
        <v>1</v>
      </c>
      <c r="K4" s="2">
        <v>0</v>
      </c>
      <c r="L4" s="2">
        <v>1</v>
      </c>
      <c r="M4" s="4">
        <f t="shared" si="0"/>
        <v>4</v>
      </c>
      <c r="N4" s="4">
        <f t="shared" si="1"/>
        <v>4</v>
      </c>
      <c r="O4" s="4">
        <f t="shared" si="2"/>
        <v>0</v>
      </c>
      <c r="P4" s="4">
        <f t="shared" si="3"/>
        <v>4</v>
      </c>
    </row>
    <row r="5" spans="1:16" x14ac:dyDescent="0.25">
      <c r="A5" t="s">
        <v>46</v>
      </c>
      <c r="B5" t="s">
        <v>35</v>
      </c>
      <c r="C5" t="s">
        <v>47</v>
      </c>
      <c r="D5" t="s">
        <v>48</v>
      </c>
      <c r="E5" t="s">
        <v>49</v>
      </c>
      <c r="F5" t="s">
        <v>50</v>
      </c>
      <c r="G5" t="s">
        <v>361</v>
      </c>
      <c r="H5" t="s">
        <v>359</v>
      </c>
      <c r="I5" s="2">
        <v>1</v>
      </c>
      <c r="J5" s="2">
        <v>1</v>
      </c>
      <c r="K5" s="2">
        <v>0</v>
      </c>
      <c r="L5" s="2">
        <v>1</v>
      </c>
      <c r="M5" s="4">
        <f t="shared" si="0"/>
        <v>4</v>
      </c>
      <c r="N5" s="4">
        <f t="shared" si="1"/>
        <v>4</v>
      </c>
      <c r="O5" s="4">
        <f t="shared" si="2"/>
        <v>0</v>
      </c>
      <c r="P5" s="4">
        <f t="shared" si="3"/>
        <v>4</v>
      </c>
    </row>
    <row r="6" spans="1:16" x14ac:dyDescent="0.25">
      <c r="A6" t="s">
        <v>51</v>
      </c>
      <c r="B6" t="s">
        <v>35</v>
      </c>
      <c r="C6" t="s">
        <v>37</v>
      </c>
      <c r="D6" t="s">
        <v>52</v>
      </c>
      <c r="E6" t="s">
        <v>53</v>
      </c>
      <c r="F6" t="s">
        <v>40</v>
      </c>
      <c r="G6" t="s">
        <v>360</v>
      </c>
      <c r="H6" t="s">
        <v>357</v>
      </c>
      <c r="I6" s="2">
        <v>1</v>
      </c>
      <c r="J6" s="2">
        <v>1</v>
      </c>
      <c r="K6" s="2">
        <v>0</v>
      </c>
      <c r="L6" s="2">
        <v>1</v>
      </c>
      <c r="M6" s="4">
        <f t="shared" si="0"/>
        <v>4</v>
      </c>
      <c r="N6" s="4">
        <f t="shared" si="1"/>
        <v>4</v>
      </c>
      <c r="O6" s="4">
        <f t="shared" si="2"/>
        <v>0</v>
      </c>
      <c r="P6" s="4">
        <f t="shared" si="3"/>
        <v>4</v>
      </c>
    </row>
    <row r="7" spans="1:16" x14ac:dyDescent="0.25">
      <c r="A7" t="s">
        <v>63</v>
      </c>
      <c r="B7" t="s">
        <v>35</v>
      </c>
      <c r="C7" t="s">
        <v>64</v>
      </c>
      <c r="D7" t="s">
        <v>65</v>
      </c>
      <c r="E7" t="s">
        <v>66</v>
      </c>
      <c r="F7" t="s">
        <v>67</v>
      </c>
      <c r="G7" t="s">
        <v>363</v>
      </c>
      <c r="H7" t="s">
        <v>362</v>
      </c>
      <c r="I7" s="2">
        <v>1</v>
      </c>
      <c r="J7" s="2">
        <v>1</v>
      </c>
      <c r="K7" s="2">
        <v>0</v>
      </c>
      <c r="L7" s="2">
        <v>1</v>
      </c>
      <c r="M7" s="4">
        <f t="shared" si="0"/>
        <v>4</v>
      </c>
      <c r="N7" s="4">
        <f t="shared" si="1"/>
        <v>4</v>
      </c>
      <c r="O7" s="4">
        <f t="shared" si="2"/>
        <v>0</v>
      </c>
      <c r="P7" s="4">
        <f t="shared" si="3"/>
        <v>4</v>
      </c>
    </row>
    <row r="8" spans="1:16" x14ac:dyDescent="0.25">
      <c r="A8" t="s">
        <v>68</v>
      </c>
      <c r="B8" t="s">
        <v>35</v>
      </c>
      <c r="C8" t="s">
        <v>69</v>
      </c>
      <c r="D8" t="s">
        <v>70</v>
      </c>
      <c r="E8" t="s">
        <v>71</v>
      </c>
      <c r="F8" t="s">
        <v>72</v>
      </c>
      <c r="G8" t="s">
        <v>364</v>
      </c>
      <c r="H8" t="s">
        <v>365</v>
      </c>
      <c r="I8" s="2">
        <v>1</v>
      </c>
      <c r="J8" s="2">
        <v>1</v>
      </c>
      <c r="K8" s="2">
        <v>0</v>
      </c>
      <c r="L8" s="2">
        <v>1</v>
      </c>
      <c r="M8" s="4">
        <f t="shared" si="0"/>
        <v>4</v>
      </c>
      <c r="N8" s="4">
        <f t="shared" si="1"/>
        <v>4</v>
      </c>
      <c r="O8" s="4">
        <f t="shared" si="2"/>
        <v>0</v>
      </c>
      <c r="P8" s="4">
        <f t="shared" si="3"/>
        <v>4</v>
      </c>
    </row>
    <row r="9" spans="1:16" x14ac:dyDescent="0.25">
      <c r="A9" t="s">
        <v>138</v>
      </c>
      <c r="B9" t="s">
        <v>35</v>
      </c>
      <c r="C9" t="s">
        <v>139</v>
      </c>
      <c r="D9" t="s">
        <v>140</v>
      </c>
      <c r="E9" t="s">
        <v>141</v>
      </c>
      <c r="F9" t="s">
        <v>142</v>
      </c>
      <c r="G9" t="s">
        <v>366</v>
      </c>
      <c r="H9" t="s">
        <v>359</v>
      </c>
      <c r="I9" s="2">
        <v>1</v>
      </c>
      <c r="J9" s="2">
        <v>1</v>
      </c>
      <c r="K9" s="2">
        <v>0</v>
      </c>
      <c r="L9" s="2">
        <v>1</v>
      </c>
      <c r="M9" s="4">
        <f t="shared" si="0"/>
        <v>4</v>
      </c>
      <c r="N9" s="4">
        <f t="shared" si="1"/>
        <v>4</v>
      </c>
      <c r="O9" s="4">
        <f t="shared" si="2"/>
        <v>0</v>
      </c>
      <c r="P9" s="4">
        <f t="shared" si="3"/>
        <v>4</v>
      </c>
    </row>
    <row r="10" spans="1:16" x14ac:dyDescent="0.25">
      <c r="A10" t="s">
        <v>73</v>
      </c>
      <c r="B10" t="s">
        <v>35</v>
      </c>
      <c r="C10" t="s">
        <v>74</v>
      </c>
      <c r="D10" t="s">
        <v>75</v>
      </c>
      <c r="E10" t="s">
        <v>76</v>
      </c>
      <c r="F10" t="s">
        <v>77</v>
      </c>
      <c r="G10" t="s">
        <v>360</v>
      </c>
      <c r="H10" t="s">
        <v>357</v>
      </c>
      <c r="I10" s="2">
        <v>1</v>
      </c>
      <c r="J10" s="2">
        <v>1</v>
      </c>
      <c r="K10" s="2">
        <v>0</v>
      </c>
      <c r="L10" s="2">
        <v>1</v>
      </c>
      <c r="M10" s="4">
        <f t="shared" si="0"/>
        <v>4</v>
      </c>
      <c r="N10" s="4">
        <f t="shared" si="1"/>
        <v>4</v>
      </c>
      <c r="O10" s="4">
        <f t="shared" si="2"/>
        <v>0</v>
      </c>
      <c r="P10" s="4">
        <f t="shared" si="3"/>
        <v>4</v>
      </c>
    </row>
    <row r="11" spans="1:16" x14ac:dyDescent="0.25">
      <c r="A11" t="s">
        <v>78</v>
      </c>
      <c r="B11" t="s">
        <v>35</v>
      </c>
      <c r="C11" t="s">
        <v>37</v>
      </c>
      <c r="D11" t="s">
        <v>79</v>
      </c>
      <c r="E11" t="s">
        <v>80</v>
      </c>
      <c r="F11" t="s">
        <v>81</v>
      </c>
      <c r="G11" t="s">
        <v>366</v>
      </c>
      <c r="H11" t="s">
        <v>358</v>
      </c>
      <c r="I11" s="2">
        <v>1</v>
      </c>
      <c r="J11" s="2">
        <v>1</v>
      </c>
      <c r="K11" s="2">
        <v>0</v>
      </c>
      <c r="L11" s="2">
        <v>1</v>
      </c>
      <c r="M11" s="4">
        <f t="shared" si="0"/>
        <v>4</v>
      </c>
      <c r="N11" s="4">
        <f t="shared" si="1"/>
        <v>4</v>
      </c>
      <c r="O11" s="4">
        <f t="shared" si="2"/>
        <v>0</v>
      </c>
      <c r="P11" s="4">
        <f t="shared" si="3"/>
        <v>4</v>
      </c>
    </row>
    <row r="12" spans="1:16" x14ac:dyDescent="0.25">
      <c r="A12" t="s">
        <v>82</v>
      </c>
      <c r="B12" t="s">
        <v>35</v>
      </c>
      <c r="C12" t="s">
        <v>37</v>
      </c>
      <c r="D12" t="s">
        <v>55</v>
      </c>
      <c r="E12" t="s">
        <v>83</v>
      </c>
      <c r="F12" t="s">
        <v>40</v>
      </c>
      <c r="G12" t="s">
        <v>366</v>
      </c>
      <c r="H12" t="s">
        <v>357</v>
      </c>
      <c r="I12" s="2">
        <v>1</v>
      </c>
      <c r="J12" s="2">
        <v>1</v>
      </c>
      <c r="K12" s="2">
        <v>0</v>
      </c>
      <c r="L12" s="2">
        <v>1</v>
      </c>
      <c r="M12" s="4">
        <f t="shared" si="0"/>
        <v>4</v>
      </c>
      <c r="N12" s="4">
        <f t="shared" si="1"/>
        <v>4</v>
      </c>
      <c r="O12" s="4">
        <f t="shared" si="2"/>
        <v>0</v>
      </c>
      <c r="P12" s="4">
        <f t="shared" si="3"/>
        <v>4</v>
      </c>
    </row>
    <row r="13" spans="1:16" x14ac:dyDescent="0.25">
      <c r="A13" t="s">
        <v>90</v>
      </c>
      <c r="B13" t="s">
        <v>35</v>
      </c>
      <c r="C13" t="s">
        <v>91</v>
      </c>
      <c r="D13" t="s">
        <v>92</v>
      </c>
      <c r="E13" t="s">
        <v>93</v>
      </c>
      <c r="F13" t="s">
        <v>94</v>
      </c>
      <c r="G13" t="s">
        <v>364</v>
      </c>
      <c r="H13" t="s">
        <v>367</v>
      </c>
      <c r="I13" s="2">
        <v>1</v>
      </c>
      <c r="J13" s="2">
        <v>1</v>
      </c>
      <c r="K13" s="2">
        <v>0</v>
      </c>
      <c r="L13" s="2">
        <v>1</v>
      </c>
      <c r="M13" s="4">
        <f t="shared" si="0"/>
        <v>4</v>
      </c>
      <c r="N13" s="4">
        <f t="shared" si="1"/>
        <v>4</v>
      </c>
      <c r="O13" s="4">
        <f t="shared" si="2"/>
        <v>0</v>
      </c>
      <c r="P13" s="4">
        <f t="shared" si="3"/>
        <v>4</v>
      </c>
    </row>
    <row r="14" spans="1:16" x14ac:dyDescent="0.25">
      <c r="A14" t="s">
        <v>95</v>
      </c>
      <c r="B14" t="s">
        <v>35</v>
      </c>
      <c r="C14" t="s">
        <v>37</v>
      </c>
      <c r="D14" t="s">
        <v>96</v>
      </c>
      <c r="E14" t="s">
        <v>97</v>
      </c>
      <c r="F14" t="s">
        <v>40</v>
      </c>
      <c r="G14" t="s">
        <v>368</v>
      </c>
      <c r="H14" t="s">
        <v>357</v>
      </c>
      <c r="I14" s="2">
        <v>1</v>
      </c>
      <c r="J14" s="2">
        <v>1</v>
      </c>
      <c r="K14" s="2">
        <v>0</v>
      </c>
      <c r="L14" s="2">
        <v>1</v>
      </c>
      <c r="M14" s="4">
        <f t="shared" si="0"/>
        <v>4</v>
      </c>
      <c r="N14" s="4">
        <f t="shared" si="1"/>
        <v>4</v>
      </c>
      <c r="O14" s="4">
        <f t="shared" si="2"/>
        <v>0</v>
      </c>
      <c r="P14" s="4">
        <f t="shared" si="3"/>
        <v>4</v>
      </c>
    </row>
    <row r="15" spans="1:16" x14ac:dyDescent="0.25">
      <c r="A15" t="s">
        <v>163</v>
      </c>
      <c r="B15" t="s">
        <v>35</v>
      </c>
      <c r="C15" t="s">
        <v>164</v>
      </c>
      <c r="D15" t="s">
        <v>165</v>
      </c>
      <c r="E15" t="s">
        <v>156</v>
      </c>
      <c r="F15" t="s">
        <v>166</v>
      </c>
      <c r="G15" t="s">
        <v>364</v>
      </c>
      <c r="H15" t="s">
        <v>362</v>
      </c>
      <c r="I15" s="2">
        <v>1</v>
      </c>
      <c r="J15" s="2">
        <v>1</v>
      </c>
      <c r="K15" s="2">
        <v>0</v>
      </c>
      <c r="L15" s="2">
        <v>1</v>
      </c>
      <c r="M15" s="4">
        <f t="shared" si="0"/>
        <v>4</v>
      </c>
      <c r="N15" s="4">
        <f t="shared" si="1"/>
        <v>4</v>
      </c>
      <c r="O15" s="4">
        <f t="shared" si="2"/>
        <v>0</v>
      </c>
      <c r="P15" s="4">
        <f t="shared" si="3"/>
        <v>4</v>
      </c>
    </row>
    <row r="16" spans="1:16" x14ac:dyDescent="0.25">
      <c r="A16" t="s">
        <v>41</v>
      </c>
      <c r="B16" t="s">
        <v>35</v>
      </c>
      <c r="C16" t="s">
        <v>42</v>
      </c>
      <c r="D16" t="s">
        <v>43</v>
      </c>
      <c r="E16" t="s">
        <v>44</v>
      </c>
      <c r="F16" t="s">
        <v>45</v>
      </c>
      <c r="G16" t="s">
        <v>360</v>
      </c>
      <c r="H16" t="s">
        <v>359</v>
      </c>
      <c r="I16" s="2">
        <v>1</v>
      </c>
      <c r="J16" s="2">
        <v>0.7</v>
      </c>
      <c r="K16" s="2">
        <v>0</v>
      </c>
      <c r="L16" s="2">
        <v>1</v>
      </c>
      <c r="M16" s="4">
        <f t="shared" si="0"/>
        <v>4</v>
      </c>
      <c r="N16" s="4">
        <f t="shared" si="1"/>
        <v>3</v>
      </c>
      <c r="O16" s="4">
        <f t="shared" si="2"/>
        <v>0</v>
      </c>
      <c r="P16" s="4">
        <f t="shared" si="3"/>
        <v>4</v>
      </c>
    </row>
    <row r="17" spans="1:16" x14ac:dyDescent="0.25">
      <c r="A17" t="s">
        <v>107</v>
      </c>
      <c r="B17" t="s">
        <v>35</v>
      </c>
      <c r="C17" t="s">
        <v>85</v>
      </c>
      <c r="D17" t="s">
        <v>11</v>
      </c>
      <c r="E17" t="s">
        <v>108</v>
      </c>
      <c r="F17" t="s">
        <v>87</v>
      </c>
      <c r="G17" t="s">
        <v>370</v>
      </c>
      <c r="H17" t="s">
        <v>357</v>
      </c>
      <c r="I17" s="2">
        <v>1</v>
      </c>
      <c r="J17" s="2">
        <v>1</v>
      </c>
      <c r="K17" s="2">
        <v>0</v>
      </c>
      <c r="L17" s="2">
        <v>1</v>
      </c>
      <c r="M17" s="4">
        <f t="shared" si="0"/>
        <v>4</v>
      </c>
      <c r="N17" s="4">
        <f t="shared" si="1"/>
        <v>4</v>
      </c>
      <c r="O17" s="4">
        <f t="shared" si="2"/>
        <v>0</v>
      </c>
      <c r="P17" s="4">
        <f t="shared" si="3"/>
        <v>4</v>
      </c>
    </row>
    <row r="18" spans="1:16" x14ac:dyDescent="0.25">
      <c r="A18" t="s">
        <v>193</v>
      </c>
      <c r="B18" t="s">
        <v>35</v>
      </c>
      <c r="C18" t="s">
        <v>37</v>
      </c>
      <c r="D18" t="s">
        <v>194</v>
      </c>
      <c r="E18" t="s">
        <v>195</v>
      </c>
      <c r="F18" t="s">
        <v>81</v>
      </c>
      <c r="G18" t="s">
        <v>370</v>
      </c>
      <c r="H18" t="s">
        <v>367</v>
      </c>
      <c r="I18" s="2">
        <v>1</v>
      </c>
      <c r="J18" s="2">
        <v>1</v>
      </c>
      <c r="K18" s="2">
        <v>0</v>
      </c>
      <c r="L18" s="2">
        <v>1</v>
      </c>
      <c r="M18" s="4">
        <f t="shared" si="0"/>
        <v>4</v>
      </c>
      <c r="N18" s="4">
        <f t="shared" si="1"/>
        <v>4</v>
      </c>
      <c r="O18" s="4">
        <f t="shared" si="2"/>
        <v>0</v>
      </c>
      <c r="P18" s="4">
        <f t="shared" si="3"/>
        <v>4</v>
      </c>
    </row>
    <row r="19" spans="1:16" x14ac:dyDescent="0.25">
      <c r="A19" t="s">
        <v>54</v>
      </c>
      <c r="B19" t="s">
        <v>35</v>
      </c>
      <c r="C19" t="s">
        <v>42</v>
      </c>
      <c r="D19" t="s">
        <v>55</v>
      </c>
      <c r="E19" t="s">
        <v>56</v>
      </c>
      <c r="F19" t="s">
        <v>45</v>
      </c>
      <c r="G19" t="s">
        <v>360</v>
      </c>
      <c r="H19" t="s">
        <v>362</v>
      </c>
      <c r="I19" s="2">
        <v>1</v>
      </c>
      <c r="J19" s="2">
        <v>0.7</v>
      </c>
      <c r="K19" s="2">
        <v>0</v>
      </c>
      <c r="L19" s="2">
        <v>1</v>
      </c>
      <c r="M19" s="4">
        <f t="shared" si="0"/>
        <v>4</v>
      </c>
      <c r="N19" s="4">
        <f t="shared" si="1"/>
        <v>3</v>
      </c>
      <c r="O19" s="4">
        <f t="shared" si="2"/>
        <v>0</v>
      </c>
      <c r="P19" s="4">
        <f t="shared" si="3"/>
        <v>4</v>
      </c>
    </row>
    <row r="20" spans="1:16" x14ac:dyDescent="0.25">
      <c r="A20" t="s">
        <v>57</v>
      </c>
      <c r="B20" t="s">
        <v>35</v>
      </c>
      <c r="C20" t="s">
        <v>42</v>
      </c>
      <c r="D20" t="s">
        <v>58</v>
      </c>
      <c r="E20" t="s">
        <v>59</v>
      </c>
      <c r="F20" t="s">
        <v>45</v>
      </c>
      <c r="G20" t="s">
        <v>360</v>
      </c>
      <c r="H20" t="s">
        <v>359</v>
      </c>
      <c r="I20" s="2">
        <v>1</v>
      </c>
      <c r="J20" s="2">
        <v>0.7</v>
      </c>
      <c r="K20" s="2">
        <v>0</v>
      </c>
      <c r="L20" s="2">
        <v>1</v>
      </c>
      <c r="M20" s="4">
        <f t="shared" si="0"/>
        <v>4</v>
      </c>
      <c r="N20" s="4">
        <f t="shared" si="1"/>
        <v>3</v>
      </c>
      <c r="O20" s="4">
        <f t="shared" si="2"/>
        <v>0</v>
      </c>
      <c r="P20" s="4">
        <f t="shared" si="3"/>
        <v>4</v>
      </c>
    </row>
    <row r="21" spans="1:16" x14ac:dyDescent="0.25">
      <c r="A21" t="s">
        <v>60</v>
      </c>
      <c r="B21" t="s">
        <v>35</v>
      </c>
      <c r="C21" t="s">
        <v>42</v>
      </c>
      <c r="D21" t="s">
        <v>61</v>
      </c>
      <c r="E21" t="s">
        <v>62</v>
      </c>
      <c r="F21" t="s">
        <v>45</v>
      </c>
      <c r="G21" t="s">
        <v>360</v>
      </c>
      <c r="H21" t="s">
        <v>359</v>
      </c>
      <c r="I21" s="2">
        <v>1</v>
      </c>
      <c r="J21" s="2">
        <v>0.7</v>
      </c>
      <c r="K21" s="2">
        <v>0</v>
      </c>
      <c r="L21" s="2">
        <v>1</v>
      </c>
      <c r="M21" s="4">
        <f t="shared" si="0"/>
        <v>4</v>
      </c>
      <c r="N21" s="4">
        <f t="shared" si="1"/>
        <v>3</v>
      </c>
      <c r="O21" s="4">
        <f t="shared" si="2"/>
        <v>0</v>
      </c>
      <c r="P21" s="4">
        <f t="shared" si="3"/>
        <v>4</v>
      </c>
    </row>
    <row r="22" spans="1:16" x14ac:dyDescent="0.25">
      <c r="A22" t="s">
        <v>205</v>
      </c>
      <c r="B22" t="s">
        <v>35</v>
      </c>
      <c r="C22" t="s">
        <v>85</v>
      </c>
      <c r="D22" t="s">
        <v>15</v>
      </c>
      <c r="E22" t="s">
        <v>206</v>
      </c>
      <c r="F22" t="s">
        <v>87</v>
      </c>
      <c r="G22" t="s">
        <v>363</v>
      </c>
      <c r="H22" t="s">
        <v>358</v>
      </c>
      <c r="I22" s="2">
        <v>1</v>
      </c>
      <c r="J22" s="2">
        <v>0.7</v>
      </c>
      <c r="K22" s="2">
        <v>0</v>
      </c>
      <c r="L22" s="2">
        <v>1</v>
      </c>
      <c r="M22" s="4">
        <f t="shared" si="0"/>
        <v>4</v>
      </c>
      <c r="N22" s="4">
        <f t="shared" si="1"/>
        <v>3</v>
      </c>
      <c r="O22" s="4">
        <f t="shared" si="2"/>
        <v>0</v>
      </c>
      <c r="P22" s="4">
        <f t="shared" si="3"/>
        <v>4</v>
      </c>
    </row>
    <row r="23" spans="1:16" x14ac:dyDescent="0.25">
      <c r="A23" t="s">
        <v>309</v>
      </c>
      <c r="B23" t="s">
        <v>184</v>
      </c>
      <c r="C23" t="s">
        <v>310</v>
      </c>
      <c r="D23" t="s">
        <v>311</v>
      </c>
      <c r="E23" t="s">
        <v>312</v>
      </c>
      <c r="F23" t="s">
        <v>313</v>
      </c>
      <c r="G23" t="s">
        <v>370</v>
      </c>
      <c r="H23" t="s">
        <v>359</v>
      </c>
      <c r="I23" s="2">
        <v>1</v>
      </c>
      <c r="J23" s="2">
        <v>0.7</v>
      </c>
      <c r="K23" s="2">
        <v>0</v>
      </c>
      <c r="L23" s="2">
        <v>1</v>
      </c>
      <c r="M23" s="4">
        <f t="shared" si="0"/>
        <v>4</v>
      </c>
      <c r="N23" s="4">
        <f t="shared" si="1"/>
        <v>3</v>
      </c>
      <c r="O23" s="4">
        <f t="shared" si="2"/>
        <v>0</v>
      </c>
      <c r="P23" s="4">
        <f t="shared" si="3"/>
        <v>4</v>
      </c>
    </row>
    <row r="24" spans="1:16" x14ac:dyDescent="0.25">
      <c r="A24" t="s">
        <v>84</v>
      </c>
      <c r="B24" t="s">
        <v>35</v>
      </c>
      <c r="C24" t="s">
        <v>85</v>
      </c>
      <c r="D24" t="s">
        <v>14</v>
      </c>
      <c r="E24" t="s">
        <v>86</v>
      </c>
      <c r="F24" t="s">
        <v>87</v>
      </c>
      <c r="G24" t="s">
        <v>363</v>
      </c>
      <c r="H24" t="s">
        <v>367</v>
      </c>
      <c r="I24" s="2">
        <v>1</v>
      </c>
      <c r="J24" s="2">
        <v>0.7</v>
      </c>
      <c r="K24" s="2">
        <v>0</v>
      </c>
      <c r="L24" s="2">
        <v>1</v>
      </c>
      <c r="M24" s="4">
        <f t="shared" si="0"/>
        <v>4</v>
      </c>
      <c r="N24" s="4">
        <f t="shared" si="1"/>
        <v>3</v>
      </c>
      <c r="O24" s="4">
        <f t="shared" si="2"/>
        <v>0</v>
      </c>
      <c r="P24" s="4">
        <f t="shared" si="3"/>
        <v>4</v>
      </c>
    </row>
    <row r="25" spans="1:16" x14ac:dyDescent="0.25">
      <c r="A25" t="s">
        <v>266</v>
      </c>
      <c r="B25" t="s">
        <v>35</v>
      </c>
      <c r="C25" t="s">
        <v>267</v>
      </c>
      <c r="D25" t="s">
        <v>268</v>
      </c>
      <c r="E25" t="s">
        <v>269</v>
      </c>
      <c r="F25" t="s">
        <v>270</v>
      </c>
      <c r="G25" t="s">
        <v>372</v>
      </c>
      <c r="H25" t="s">
        <v>373</v>
      </c>
      <c r="I25" s="2">
        <v>1</v>
      </c>
      <c r="J25" s="2">
        <v>1</v>
      </c>
      <c r="K25" s="2">
        <v>0.7</v>
      </c>
      <c r="L25" s="2">
        <v>0.7</v>
      </c>
      <c r="M25" s="4">
        <f t="shared" si="0"/>
        <v>4</v>
      </c>
      <c r="N25" s="4">
        <f t="shared" si="1"/>
        <v>4</v>
      </c>
      <c r="O25" s="4">
        <f t="shared" si="2"/>
        <v>3</v>
      </c>
      <c r="P25" s="4">
        <f t="shared" si="3"/>
        <v>3</v>
      </c>
    </row>
    <row r="26" spans="1:16" x14ac:dyDescent="0.25">
      <c r="A26" t="s">
        <v>116</v>
      </c>
      <c r="B26" t="s">
        <v>35</v>
      </c>
      <c r="C26" t="s">
        <v>117</v>
      </c>
      <c r="D26" t="s">
        <v>118</v>
      </c>
      <c r="E26" t="s">
        <v>119</v>
      </c>
      <c r="F26" t="s">
        <v>120</v>
      </c>
      <c r="G26" t="s">
        <v>364</v>
      </c>
      <c r="H26" t="s">
        <v>362</v>
      </c>
      <c r="I26" s="2">
        <v>1</v>
      </c>
      <c r="J26" s="2">
        <v>0.7</v>
      </c>
      <c r="K26" s="2">
        <v>0</v>
      </c>
      <c r="L26" s="2">
        <v>1</v>
      </c>
      <c r="M26" s="4">
        <f t="shared" si="0"/>
        <v>4</v>
      </c>
      <c r="N26" s="4">
        <f t="shared" si="1"/>
        <v>3</v>
      </c>
      <c r="O26" s="4">
        <f t="shared" si="2"/>
        <v>0</v>
      </c>
      <c r="P26" s="4">
        <f t="shared" si="3"/>
        <v>4</v>
      </c>
    </row>
    <row r="27" spans="1:16" x14ac:dyDescent="0.25">
      <c r="A27" t="s">
        <v>102</v>
      </c>
      <c r="B27" t="s">
        <v>35</v>
      </c>
      <c r="C27" t="s">
        <v>103</v>
      </c>
      <c r="D27" t="s">
        <v>104</v>
      </c>
      <c r="E27" t="s">
        <v>105</v>
      </c>
      <c r="F27" t="s">
        <v>106</v>
      </c>
      <c r="G27" t="s">
        <v>360</v>
      </c>
      <c r="H27" t="s">
        <v>357</v>
      </c>
      <c r="I27" s="2">
        <v>1</v>
      </c>
      <c r="J27" s="2">
        <v>0.7</v>
      </c>
      <c r="K27" s="2">
        <v>0</v>
      </c>
      <c r="L27" s="2">
        <v>1</v>
      </c>
      <c r="M27" s="4">
        <f t="shared" si="0"/>
        <v>4</v>
      </c>
      <c r="N27" s="4">
        <f t="shared" si="1"/>
        <v>3</v>
      </c>
      <c r="O27" s="4">
        <f t="shared" si="2"/>
        <v>0</v>
      </c>
      <c r="P27" s="4">
        <f t="shared" si="3"/>
        <v>4</v>
      </c>
    </row>
    <row r="28" spans="1:16" x14ac:dyDescent="0.25">
      <c r="A28" t="s">
        <v>134</v>
      </c>
      <c r="B28" t="s">
        <v>35</v>
      </c>
      <c r="C28" t="s">
        <v>42</v>
      </c>
      <c r="D28" t="s">
        <v>135</v>
      </c>
      <c r="E28" t="s">
        <v>136</v>
      </c>
      <c r="F28" t="s">
        <v>137</v>
      </c>
      <c r="G28" t="s">
        <v>369</v>
      </c>
      <c r="H28" t="s">
        <v>371</v>
      </c>
      <c r="I28" s="2">
        <v>1</v>
      </c>
      <c r="J28" s="2">
        <v>0.7</v>
      </c>
      <c r="K28" s="2">
        <v>0</v>
      </c>
      <c r="L28" s="2">
        <v>1</v>
      </c>
      <c r="M28" s="4">
        <f t="shared" si="0"/>
        <v>4</v>
      </c>
      <c r="N28" s="4">
        <f t="shared" si="1"/>
        <v>3</v>
      </c>
      <c r="O28" s="4">
        <f t="shared" si="2"/>
        <v>0</v>
      </c>
      <c r="P28" s="4">
        <f t="shared" si="3"/>
        <v>4</v>
      </c>
    </row>
    <row r="29" spans="1:16" x14ac:dyDescent="0.25">
      <c r="A29" t="s">
        <v>143</v>
      </c>
      <c r="B29" t="s">
        <v>35</v>
      </c>
      <c r="C29" t="s">
        <v>85</v>
      </c>
      <c r="D29" t="s">
        <v>12</v>
      </c>
      <c r="E29" t="s">
        <v>144</v>
      </c>
      <c r="F29" t="s">
        <v>87</v>
      </c>
      <c r="G29" t="s">
        <v>370</v>
      </c>
      <c r="H29" t="s">
        <v>371</v>
      </c>
      <c r="I29" s="2">
        <v>1</v>
      </c>
      <c r="J29" s="2">
        <v>1</v>
      </c>
      <c r="K29" s="2">
        <v>0</v>
      </c>
      <c r="L29" s="2">
        <v>0.7</v>
      </c>
      <c r="M29" s="4">
        <f t="shared" si="0"/>
        <v>4</v>
      </c>
      <c r="N29" s="4">
        <f t="shared" si="1"/>
        <v>4</v>
      </c>
      <c r="O29" s="4">
        <f t="shared" si="2"/>
        <v>0</v>
      </c>
      <c r="P29" s="4">
        <f t="shared" ref="P29:P50" si="4">IF(L29=1,4,IF(L29=0.7,3,IF(L29=0.35,2,IF(L29=0.1,1,0))))</f>
        <v>3</v>
      </c>
    </row>
    <row r="30" spans="1:16" x14ac:dyDescent="0.25">
      <c r="A30" t="s">
        <v>88</v>
      </c>
      <c r="B30" t="s">
        <v>35</v>
      </c>
      <c r="C30" t="s">
        <v>64</v>
      </c>
      <c r="D30" t="s">
        <v>27</v>
      </c>
      <c r="E30" t="s">
        <v>89</v>
      </c>
      <c r="F30" t="s">
        <v>67</v>
      </c>
      <c r="G30" t="s">
        <v>360</v>
      </c>
      <c r="H30" t="s">
        <v>362</v>
      </c>
      <c r="I30" s="2">
        <v>1</v>
      </c>
      <c r="J30" s="2">
        <v>1</v>
      </c>
      <c r="K30" s="2">
        <v>0</v>
      </c>
      <c r="L30" s="2">
        <v>0.7</v>
      </c>
      <c r="M30" s="4">
        <f t="shared" si="0"/>
        <v>4</v>
      </c>
      <c r="N30" s="4">
        <f t="shared" si="1"/>
        <v>4</v>
      </c>
      <c r="O30" s="4">
        <f t="shared" si="2"/>
        <v>0</v>
      </c>
      <c r="P30" s="4">
        <f t="shared" si="4"/>
        <v>3</v>
      </c>
    </row>
    <row r="31" spans="1:16" x14ac:dyDescent="0.25">
      <c r="A31" t="s">
        <v>214</v>
      </c>
      <c r="B31" t="s">
        <v>35</v>
      </c>
      <c r="C31" t="s">
        <v>139</v>
      </c>
      <c r="D31" t="s">
        <v>30</v>
      </c>
      <c r="E31" t="s">
        <v>215</v>
      </c>
      <c r="F31" t="s">
        <v>142</v>
      </c>
      <c r="G31" t="s">
        <v>372</v>
      </c>
      <c r="H31" t="s">
        <v>373</v>
      </c>
      <c r="I31" s="2">
        <v>1</v>
      </c>
      <c r="J31" s="2">
        <v>1</v>
      </c>
      <c r="K31" s="2">
        <v>0.35</v>
      </c>
      <c r="L31" s="2">
        <v>0.7</v>
      </c>
      <c r="M31" s="4">
        <f t="shared" si="0"/>
        <v>4</v>
      </c>
      <c r="N31" s="4">
        <f t="shared" si="1"/>
        <v>4</v>
      </c>
      <c r="O31" s="4">
        <f t="shared" si="2"/>
        <v>2</v>
      </c>
      <c r="P31" s="4">
        <f t="shared" si="4"/>
        <v>3</v>
      </c>
    </row>
    <row r="32" spans="1:16" x14ac:dyDescent="0.25">
      <c r="A32" t="s">
        <v>161</v>
      </c>
      <c r="B32" t="s">
        <v>35</v>
      </c>
      <c r="C32" t="s">
        <v>110</v>
      </c>
      <c r="D32" t="s">
        <v>19</v>
      </c>
      <c r="E32" t="s">
        <v>162</v>
      </c>
      <c r="F32" t="s">
        <v>112</v>
      </c>
      <c r="G32" t="s">
        <v>369</v>
      </c>
      <c r="H32" t="s">
        <v>359</v>
      </c>
      <c r="I32" s="2">
        <v>1</v>
      </c>
      <c r="J32" s="2">
        <v>1</v>
      </c>
      <c r="K32" s="2">
        <v>0</v>
      </c>
      <c r="L32" s="2">
        <v>0.7</v>
      </c>
      <c r="M32" s="4">
        <f t="shared" si="0"/>
        <v>4</v>
      </c>
      <c r="N32" s="4">
        <f t="shared" si="1"/>
        <v>4</v>
      </c>
      <c r="O32" s="4">
        <f t="shared" si="2"/>
        <v>0</v>
      </c>
      <c r="P32" s="4">
        <f t="shared" si="4"/>
        <v>3</v>
      </c>
    </row>
    <row r="33" spans="1:16" x14ac:dyDescent="0.25">
      <c r="A33" t="s">
        <v>170</v>
      </c>
      <c r="B33" t="s">
        <v>35</v>
      </c>
      <c r="C33" t="s">
        <v>171</v>
      </c>
      <c r="D33" t="s">
        <v>28</v>
      </c>
      <c r="E33" t="s">
        <v>172</v>
      </c>
      <c r="F33" t="s">
        <v>173</v>
      </c>
      <c r="G33" t="s">
        <v>370</v>
      </c>
      <c r="H33" t="s">
        <v>362</v>
      </c>
      <c r="I33" s="2">
        <v>1</v>
      </c>
      <c r="J33" s="2">
        <v>1</v>
      </c>
      <c r="K33" s="2">
        <v>0.1</v>
      </c>
      <c r="L33" s="2">
        <v>0.7</v>
      </c>
      <c r="M33" s="4">
        <f t="shared" si="0"/>
        <v>4</v>
      </c>
      <c r="N33" s="4">
        <f t="shared" si="1"/>
        <v>4</v>
      </c>
      <c r="O33" s="4">
        <f t="shared" si="2"/>
        <v>1</v>
      </c>
      <c r="P33" s="4">
        <f t="shared" si="4"/>
        <v>3</v>
      </c>
    </row>
    <row r="34" spans="1:16" x14ac:dyDescent="0.25">
      <c r="A34" t="s">
        <v>167</v>
      </c>
      <c r="B34" t="s">
        <v>35</v>
      </c>
      <c r="C34" t="s">
        <v>37</v>
      </c>
      <c r="D34" t="s">
        <v>168</v>
      </c>
      <c r="E34" t="s">
        <v>169</v>
      </c>
      <c r="F34" t="s">
        <v>40</v>
      </c>
      <c r="G34" t="s">
        <v>363</v>
      </c>
      <c r="H34" t="s">
        <v>357</v>
      </c>
      <c r="I34" s="2">
        <v>1</v>
      </c>
      <c r="J34" s="2">
        <v>0.7</v>
      </c>
      <c r="K34" s="2">
        <v>0</v>
      </c>
      <c r="L34" s="2">
        <v>0.7</v>
      </c>
      <c r="M34" s="4">
        <f t="shared" si="0"/>
        <v>4</v>
      </c>
      <c r="N34" s="4">
        <f t="shared" si="1"/>
        <v>3</v>
      </c>
      <c r="O34" s="4">
        <f t="shared" si="2"/>
        <v>0</v>
      </c>
      <c r="P34" s="4">
        <f t="shared" si="4"/>
        <v>3</v>
      </c>
    </row>
    <row r="35" spans="1:16" x14ac:dyDescent="0.25">
      <c r="A35" t="s">
        <v>98</v>
      </c>
      <c r="B35" t="s">
        <v>35</v>
      </c>
      <c r="C35" t="s">
        <v>99</v>
      </c>
      <c r="D35" t="s">
        <v>25</v>
      </c>
      <c r="E35" t="s">
        <v>100</v>
      </c>
      <c r="F35" t="s">
        <v>101</v>
      </c>
      <c r="G35" t="s">
        <v>369</v>
      </c>
      <c r="H35" t="s">
        <v>359</v>
      </c>
      <c r="I35" s="2">
        <v>1</v>
      </c>
      <c r="J35" s="2">
        <v>1</v>
      </c>
      <c r="K35" s="2">
        <v>0</v>
      </c>
      <c r="L35" s="2">
        <v>0.7</v>
      </c>
      <c r="M35" s="4">
        <f t="shared" ref="M35:M66" si="5">IF(I35=1,4,IF(I35=0.7,3,IF(I35=0.35,2,IF(I35=0.1,1,0))))</f>
        <v>4</v>
      </c>
      <c r="N35" s="4">
        <f t="shared" ref="N35:N66" si="6">IF(J35=1,4,IF(J35=0.7,3,IF(J35=0.35,2,IF(J35=0.1,1,0))))</f>
        <v>4</v>
      </c>
      <c r="O35" s="4">
        <f t="shared" ref="O35:O66" si="7">IF(K35=1,4,IF(K35=0.7,3,IF(K35=0.35,2,IF(K35=0.1,1,0))))</f>
        <v>0</v>
      </c>
      <c r="P35" s="4">
        <f t="shared" si="4"/>
        <v>3</v>
      </c>
    </row>
    <row r="36" spans="1:16" x14ac:dyDescent="0.25">
      <c r="A36" t="s">
        <v>222</v>
      </c>
      <c r="B36" t="s">
        <v>35</v>
      </c>
      <c r="C36" t="s">
        <v>130</v>
      </c>
      <c r="D36" t="s">
        <v>223</v>
      </c>
      <c r="E36" t="s">
        <v>224</v>
      </c>
      <c r="F36" t="s">
        <v>133</v>
      </c>
      <c r="G36" t="s">
        <v>372</v>
      </c>
      <c r="H36" t="s">
        <v>373</v>
      </c>
      <c r="I36" s="2">
        <v>1</v>
      </c>
      <c r="J36" s="2">
        <v>1</v>
      </c>
      <c r="K36" s="2">
        <v>0</v>
      </c>
      <c r="L36" s="2">
        <v>0.7</v>
      </c>
      <c r="M36" s="4">
        <f t="shared" si="5"/>
        <v>4</v>
      </c>
      <c r="N36" s="4">
        <f t="shared" si="6"/>
        <v>4</v>
      </c>
      <c r="O36" s="4">
        <f t="shared" si="7"/>
        <v>0</v>
      </c>
      <c r="P36" s="4">
        <f t="shared" si="4"/>
        <v>3</v>
      </c>
    </row>
    <row r="37" spans="1:16" x14ac:dyDescent="0.25">
      <c r="A37" t="s">
        <v>174</v>
      </c>
      <c r="B37" t="s">
        <v>35</v>
      </c>
      <c r="C37" t="s">
        <v>175</v>
      </c>
      <c r="D37" t="s">
        <v>176</v>
      </c>
      <c r="E37" t="s">
        <v>177</v>
      </c>
      <c r="F37" t="s">
        <v>178</v>
      </c>
      <c r="G37" t="s">
        <v>361</v>
      </c>
      <c r="H37" t="s">
        <v>359</v>
      </c>
      <c r="I37" s="2">
        <v>1</v>
      </c>
      <c r="J37" s="2">
        <v>0.7</v>
      </c>
      <c r="K37" s="2">
        <v>0</v>
      </c>
      <c r="L37" s="2">
        <v>0.7</v>
      </c>
      <c r="M37" s="4">
        <f t="shared" si="5"/>
        <v>4</v>
      </c>
      <c r="N37" s="4">
        <f t="shared" si="6"/>
        <v>3</v>
      </c>
      <c r="O37" s="4">
        <f t="shared" si="7"/>
        <v>0</v>
      </c>
      <c r="P37" s="4">
        <f t="shared" si="4"/>
        <v>3</v>
      </c>
    </row>
    <row r="38" spans="1:16" x14ac:dyDescent="0.25">
      <c r="A38" t="s">
        <v>129</v>
      </c>
      <c r="B38" t="s">
        <v>35</v>
      </c>
      <c r="C38" t="s">
        <v>130</v>
      </c>
      <c r="D38" t="s">
        <v>131</v>
      </c>
      <c r="E38" t="s">
        <v>132</v>
      </c>
      <c r="F38" t="s">
        <v>133</v>
      </c>
      <c r="G38" t="s">
        <v>364</v>
      </c>
      <c r="H38" t="s">
        <v>359</v>
      </c>
      <c r="I38" s="2">
        <v>0.7</v>
      </c>
      <c r="J38" s="2">
        <v>1</v>
      </c>
      <c r="K38" s="2">
        <v>0</v>
      </c>
      <c r="L38" s="2">
        <v>1</v>
      </c>
      <c r="M38" s="4">
        <f t="shared" si="5"/>
        <v>3</v>
      </c>
      <c r="N38" s="4">
        <f t="shared" si="6"/>
        <v>4</v>
      </c>
      <c r="O38" s="4">
        <f t="shared" si="7"/>
        <v>0</v>
      </c>
      <c r="P38" s="4">
        <f t="shared" si="4"/>
        <v>4</v>
      </c>
    </row>
    <row r="39" spans="1:16" x14ac:dyDescent="0.25">
      <c r="A39" t="s">
        <v>179</v>
      </c>
      <c r="B39" t="s">
        <v>35</v>
      </c>
      <c r="C39" t="s">
        <v>180</v>
      </c>
      <c r="D39" t="s">
        <v>181</v>
      </c>
      <c r="E39" t="s">
        <v>182</v>
      </c>
      <c r="F39" t="s">
        <v>183</v>
      </c>
      <c r="G39" t="s">
        <v>364</v>
      </c>
      <c r="H39" t="s">
        <v>362</v>
      </c>
      <c r="I39" s="2">
        <v>1</v>
      </c>
      <c r="J39" s="2">
        <v>0.7</v>
      </c>
      <c r="K39" s="2">
        <v>0</v>
      </c>
      <c r="L39" s="2">
        <v>0.7</v>
      </c>
      <c r="M39" s="4">
        <f t="shared" si="5"/>
        <v>4</v>
      </c>
      <c r="N39" s="4">
        <f t="shared" si="6"/>
        <v>3</v>
      </c>
      <c r="O39" s="4">
        <f t="shared" si="7"/>
        <v>0</v>
      </c>
      <c r="P39" s="4">
        <f t="shared" si="4"/>
        <v>3</v>
      </c>
    </row>
    <row r="40" spans="1:16" x14ac:dyDescent="0.25">
      <c r="A40" t="s">
        <v>185</v>
      </c>
      <c r="B40" t="s">
        <v>184</v>
      </c>
      <c r="C40" t="s">
        <v>164</v>
      </c>
      <c r="D40" t="s">
        <v>186</v>
      </c>
      <c r="E40" t="s">
        <v>187</v>
      </c>
      <c r="F40" t="s">
        <v>166</v>
      </c>
      <c r="G40" t="s">
        <v>364</v>
      </c>
      <c r="H40" t="s">
        <v>362</v>
      </c>
      <c r="I40" s="2">
        <v>1</v>
      </c>
      <c r="J40" s="2">
        <v>1</v>
      </c>
      <c r="K40" s="2">
        <v>0</v>
      </c>
      <c r="L40" s="2">
        <v>0.7</v>
      </c>
      <c r="M40" s="4">
        <f t="shared" si="5"/>
        <v>4</v>
      </c>
      <c r="N40" s="4">
        <f t="shared" si="6"/>
        <v>4</v>
      </c>
      <c r="O40" s="4">
        <f t="shared" si="7"/>
        <v>0</v>
      </c>
      <c r="P40" s="4">
        <f t="shared" si="4"/>
        <v>3</v>
      </c>
    </row>
    <row r="41" spans="1:16" x14ac:dyDescent="0.25">
      <c r="A41" t="s">
        <v>317</v>
      </c>
      <c r="B41" t="s">
        <v>35</v>
      </c>
      <c r="C41" t="s">
        <v>37</v>
      </c>
      <c r="D41" t="s">
        <v>300</v>
      </c>
      <c r="E41" t="s">
        <v>318</v>
      </c>
      <c r="F41" t="s">
        <v>81</v>
      </c>
      <c r="G41" t="s">
        <v>369</v>
      </c>
      <c r="H41" t="s">
        <v>362</v>
      </c>
      <c r="I41" s="2">
        <v>0.7</v>
      </c>
      <c r="J41" s="2">
        <v>1</v>
      </c>
      <c r="K41" s="2">
        <v>0</v>
      </c>
      <c r="L41" s="2">
        <v>1</v>
      </c>
      <c r="M41" s="4">
        <f t="shared" si="5"/>
        <v>3</v>
      </c>
      <c r="N41" s="4">
        <f t="shared" si="6"/>
        <v>4</v>
      </c>
      <c r="O41" s="4">
        <f t="shared" si="7"/>
        <v>0</v>
      </c>
      <c r="P41" s="4">
        <f t="shared" si="4"/>
        <v>4</v>
      </c>
    </row>
    <row r="42" spans="1:16" x14ac:dyDescent="0.25">
      <c r="A42" t="s">
        <v>188</v>
      </c>
      <c r="B42" t="s">
        <v>35</v>
      </c>
      <c r="C42" t="s">
        <v>171</v>
      </c>
      <c r="D42" t="s">
        <v>23</v>
      </c>
      <c r="E42" t="s">
        <v>189</v>
      </c>
      <c r="F42" t="s">
        <v>173</v>
      </c>
      <c r="G42" t="s">
        <v>363</v>
      </c>
      <c r="H42" t="s">
        <v>362</v>
      </c>
      <c r="I42" s="2">
        <v>1</v>
      </c>
      <c r="J42" s="2">
        <v>1</v>
      </c>
      <c r="K42" s="2">
        <v>0</v>
      </c>
      <c r="L42" s="2">
        <v>0.7</v>
      </c>
      <c r="M42" s="4">
        <f t="shared" si="5"/>
        <v>4</v>
      </c>
      <c r="N42" s="4">
        <f t="shared" si="6"/>
        <v>4</v>
      </c>
      <c r="O42" s="4">
        <f t="shared" si="7"/>
        <v>0</v>
      </c>
      <c r="P42" s="4">
        <f t="shared" si="4"/>
        <v>3</v>
      </c>
    </row>
    <row r="43" spans="1:16" x14ac:dyDescent="0.25">
      <c r="A43" t="s">
        <v>255</v>
      </c>
      <c r="B43" t="s">
        <v>35</v>
      </c>
      <c r="C43" t="s">
        <v>239</v>
      </c>
      <c r="D43" t="s">
        <v>17</v>
      </c>
      <c r="E43" t="s">
        <v>256</v>
      </c>
      <c r="F43" t="s">
        <v>241</v>
      </c>
      <c r="G43" t="s">
        <v>372</v>
      </c>
      <c r="H43" t="s">
        <v>373</v>
      </c>
      <c r="I43" s="2">
        <v>0.7</v>
      </c>
      <c r="J43" s="2">
        <v>0.7</v>
      </c>
      <c r="K43" s="2">
        <v>0</v>
      </c>
      <c r="L43" s="2">
        <v>1</v>
      </c>
      <c r="M43" s="4">
        <f t="shared" si="5"/>
        <v>3</v>
      </c>
      <c r="N43" s="4">
        <f t="shared" si="6"/>
        <v>3</v>
      </c>
      <c r="O43" s="4">
        <f t="shared" si="7"/>
        <v>0</v>
      </c>
      <c r="P43" s="4">
        <f t="shared" si="4"/>
        <v>4</v>
      </c>
    </row>
    <row r="44" spans="1:16" x14ac:dyDescent="0.25">
      <c r="A44" t="s">
        <v>202</v>
      </c>
      <c r="B44" t="s">
        <v>35</v>
      </c>
      <c r="C44" t="s">
        <v>37</v>
      </c>
      <c r="D44" t="s">
        <v>203</v>
      </c>
      <c r="E44" t="s">
        <v>204</v>
      </c>
      <c r="F44" t="s">
        <v>81</v>
      </c>
      <c r="G44" t="s">
        <v>360</v>
      </c>
      <c r="H44" t="s">
        <v>357</v>
      </c>
      <c r="I44" s="2">
        <v>1</v>
      </c>
      <c r="J44" s="2">
        <v>0.7</v>
      </c>
      <c r="K44" s="2">
        <v>0</v>
      </c>
      <c r="L44" s="2">
        <v>0.7</v>
      </c>
      <c r="M44" s="4">
        <f t="shared" si="5"/>
        <v>4</v>
      </c>
      <c r="N44" s="4">
        <f t="shared" si="6"/>
        <v>3</v>
      </c>
      <c r="O44" s="4">
        <f t="shared" si="7"/>
        <v>0</v>
      </c>
      <c r="P44" s="4">
        <f t="shared" si="4"/>
        <v>3</v>
      </c>
    </row>
    <row r="45" spans="1:16" x14ac:dyDescent="0.25">
      <c r="A45" t="s">
        <v>207</v>
      </c>
      <c r="B45" t="s">
        <v>35</v>
      </c>
      <c r="C45" t="s">
        <v>171</v>
      </c>
      <c r="D45" t="s">
        <v>22</v>
      </c>
      <c r="E45" t="s">
        <v>208</v>
      </c>
      <c r="F45" t="s">
        <v>173</v>
      </c>
      <c r="G45" t="s">
        <v>372</v>
      </c>
      <c r="H45" t="s">
        <v>373</v>
      </c>
      <c r="I45" s="2">
        <v>1</v>
      </c>
      <c r="J45" s="2">
        <v>0.7</v>
      </c>
      <c r="K45" s="2">
        <v>0</v>
      </c>
      <c r="L45" s="2">
        <v>0.7</v>
      </c>
      <c r="M45" s="4">
        <f t="shared" si="5"/>
        <v>4</v>
      </c>
      <c r="N45" s="4">
        <f t="shared" si="6"/>
        <v>3</v>
      </c>
      <c r="O45" s="4">
        <f t="shared" si="7"/>
        <v>0</v>
      </c>
      <c r="P45" s="4">
        <f t="shared" si="4"/>
        <v>3</v>
      </c>
    </row>
    <row r="46" spans="1:16" x14ac:dyDescent="0.25">
      <c r="A46" t="s">
        <v>153</v>
      </c>
      <c r="B46" t="s">
        <v>35</v>
      </c>
      <c r="C46" t="s">
        <v>154</v>
      </c>
      <c r="D46" t="s">
        <v>155</v>
      </c>
      <c r="E46" t="s">
        <v>156</v>
      </c>
      <c r="F46" t="s">
        <v>157</v>
      </c>
      <c r="G46" t="s">
        <v>360</v>
      </c>
      <c r="H46" t="s">
        <v>362</v>
      </c>
      <c r="I46" s="2">
        <v>1</v>
      </c>
      <c r="J46" s="2">
        <v>0.7</v>
      </c>
      <c r="K46" s="2">
        <v>0</v>
      </c>
      <c r="L46" s="2">
        <v>0.7</v>
      </c>
      <c r="M46" s="4">
        <f t="shared" si="5"/>
        <v>4</v>
      </c>
      <c r="N46" s="4">
        <f t="shared" si="6"/>
        <v>3</v>
      </c>
      <c r="O46" s="4">
        <f t="shared" si="7"/>
        <v>0</v>
      </c>
      <c r="P46" s="4">
        <f t="shared" si="4"/>
        <v>3</v>
      </c>
    </row>
    <row r="47" spans="1:16" x14ac:dyDescent="0.25">
      <c r="A47" t="s">
        <v>257</v>
      </c>
      <c r="B47" t="s">
        <v>35</v>
      </c>
      <c r="C47" t="s">
        <v>258</v>
      </c>
      <c r="D47" t="s">
        <v>259</v>
      </c>
      <c r="E47" t="s">
        <v>260</v>
      </c>
      <c r="F47" t="s">
        <v>261</v>
      </c>
      <c r="G47" t="s">
        <v>361</v>
      </c>
      <c r="H47" t="s">
        <v>359</v>
      </c>
      <c r="I47" s="2">
        <v>0.7</v>
      </c>
      <c r="J47" s="2">
        <v>0.7</v>
      </c>
      <c r="K47" s="2">
        <v>0</v>
      </c>
      <c r="L47" s="2">
        <v>1</v>
      </c>
      <c r="M47" s="4">
        <f t="shared" si="5"/>
        <v>3</v>
      </c>
      <c r="N47" s="4">
        <f t="shared" si="6"/>
        <v>3</v>
      </c>
      <c r="O47" s="4">
        <f t="shared" si="7"/>
        <v>0</v>
      </c>
      <c r="P47" s="4">
        <f t="shared" si="4"/>
        <v>4</v>
      </c>
    </row>
    <row r="48" spans="1:16" x14ac:dyDescent="0.25">
      <c r="A48" t="s">
        <v>209</v>
      </c>
      <c r="B48" t="s">
        <v>35</v>
      </c>
      <c r="C48" t="s">
        <v>210</v>
      </c>
      <c r="D48" t="s">
        <v>211</v>
      </c>
      <c r="E48" t="s">
        <v>212</v>
      </c>
      <c r="F48" t="s">
        <v>213</v>
      </c>
      <c r="G48" t="s">
        <v>369</v>
      </c>
      <c r="H48" t="s">
        <v>359</v>
      </c>
      <c r="I48" s="2">
        <v>0.7</v>
      </c>
      <c r="J48" s="2">
        <v>0.7</v>
      </c>
      <c r="K48" s="2">
        <v>0.35</v>
      </c>
      <c r="L48" s="2">
        <v>1</v>
      </c>
      <c r="M48" s="4">
        <f t="shared" si="5"/>
        <v>3</v>
      </c>
      <c r="N48" s="4">
        <f t="shared" si="6"/>
        <v>3</v>
      </c>
      <c r="O48" s="4">
        <f t="shared" si="7"/>
        <v>2</v>
      </c>
      <c r="P48" s="4">
        <f t="shared" si="4"/>
        <v>4</v>
      </c>
    </row>
    <row r="49" spans="1:16" x14ac:dyDescent="0.25">
      <c r="A49" t="s">
        <v>216</v>
      </c>
      <c r="B49" t="s">
        <v>35</v>
      </c>
      <c r="C49" t="s">
        <v>117</v>
      </c>
      <c r="D49" t="s">
        <v>217</v>
      </c>
      <c r="E49" t="s">
        <v>208</v>
      </c>
      <c r="F49" t="s">
        <v>120</v>
      </c>
      <c r="G49" t="s">
        <v>372</v>
      </c>
      <c r="H49" t="s">
        <v>373</v>
      </c>
      <c r="I49" s="2">
        <v>0.7</v>
      </c>
      <c r="J49" s="2">
        <v>1</v>
      </c>
      <c r="K49" s="2">
        <v>0</v>
      </c>
      <c r="L49" s="2">
        <v>0.7</v>
      </c>
      <c r="M49" s="4">
        <f t="shared" si="5"/>
        <v>3</v>
      </c>
      <c r="N49" s="4">
        <f t="shared" si="6"/>
        <v>4</v>
      </c>
      <c r="O49" s="4">
        <f t="shared" si="7"/>
        <v>0</v>
      </c>
      <c r="P49" s="4">
        <f t="shared" si="4"/>
        <v>3</v>
      </c>
    </row>
    <row r="50" spans="1:16" x14ac:dyDescent="0.25">
      <c r="A50" t="s">
        <v>218</v>
      </c>
      <c r="B50" t="s">
        <v>35</v>
      </c>
      <c r="C50" t="s">
        <v>219</v>
      </c>
      <c r="D50" t="s">
        <v>29</v>
      </c>
      <c r="E50" t="s">
        <v>220</v>
      </c>
      <c r="F50" t="s">
        <v>221</v>
      </c>
      <c r="G50" t="s">
        <v>372</v>
      </c>
      <c r="H50" t="s">
        <v>373</v>
      </c>
      <c r="I50" s="2">
        <v>0.7</v>
      </c>
      <c r="J50" s="2">
        <v>1</v>
      </c>
      <c r="K50" s="2">
        <v>0</v>
      </c>
      <c r="L50" s="2">
        <v>0.7</v>
      </c>
      <c r="M50" s="4">
        <f t="shared" si="5"/>
        <v>3</v>
      </c>
      <c r="N50" s="4">
        <f t="shared" si="6"/>
        <v>4</v>
      </c>
      <c r="O50" s="4">
        <f t="shared" si="7"/>
        <v>0</v>
      </c>
      <c r="P50" s="4">
        <f t="shared" si="4"/>
        <v>3</v>
      </c>
    </row>
    <row r="51" spans="1:16" x14ac:dyDescent="0.25">
      <c r="A51" t="s">
        <v>225</v>
      </c>
      <c r="B51" t="s">
        <v>35</v>
      </c>
      <c r="C51" t="s">
        <v>91</v>
      </c>
      <c r="D51" t="s">
        <v>226</v>
      </c>
      <c r="E51" t="s">
        <v>227</v>
      </c>
      <c r="F51" t="s">
        <v>94</v>
      </c>
      <c r="G51" t="s">
        <v>361</v>
      </c>
      <c r="H51" t="s">
        <v>357</v>
      </c>
      <c r="I51" s="2">
        <v>1</v>
      </c>
      <c r="J51" s="2">
        <v>0.7</v>
      </c>
      <c r="K51" s="2">
        <v>0</v>
      </c>
      <c r="L51" s="2">
        <v>0.7</v>
      </c>
      <c r="M51" s="4">
        <f t="shared" si="5"/>
        <v>4</v>
      </c>
      <c r="N51" s="4">
        <f t="shared" si="6"/>
        <v>3</v>
      </c>
      <c r="O51" s="4">
        <f t="shared" si="7"/>
        <v>0</v>
      </c>
      <c r="P51" s="4">
        <f t="shared" ref="P51:P78" si="8">IF(L51=1,4,IF(L51=0.7,3,IF(L51=0.35,2,IF(L51=0.1,1,0))))</f>
        <v>3</v>
      </c>
    </row>
    <row r="52" spans="1:16" x14ac:dyDescent="0.25">
      <c r="A52" t="s">
        <v>109</v>
      </c>
      <c r="B52" t="s">
        <v>35</v>
      </c>
      <c r="C52" t="s">
        <v>110</v>
      </c>
      <c r="D52" t="s">
        <v>20</v>
      </c>
      <c r="E52" t="s">
        <v>111</v>
      </c>
      <c r="F52" t="s">
        <v>112</v>
      </c>
      <c r="G52" t="s">
        <v>369</v>
      </c>
      <c r="H52" t="s">
        <v>359</v>
      </c>
      <c r="I52" s="2">
        <v>1</v>
      </c>
      <c r="J52" s="2">
        <v>0.7</v>
      </c>
      <c r="K52" s="2">
        <v>0</v>
      </c>
      <c r="L52" s="2">
        <v>0.7</v>
      </c>
      <c r="M52" s="4">
        <f t="shared" si="5"/>
        <v>4</v>
      </c>
      <c r="N52" s="4">
        <f t="shared" si="6"/>
        <v>3</v>
      </c>
      <c r="O52" s="4">
        <f t="shared" si="7"/>
        <v>0</v>
      </c>
      <c r="P52" s="4">
        <f t="shared" si="8"/>
        <v>3</v>
      </c>
    </row>
    <row r="53" spans="1:16" x14ac:dyDescent="0.25">
      <c r="A53" t="s">
        <v>113</v>
      </c>
      <c r="B53" t="s">
        <v>35</v>
      </c>
      <c r="C53" t="s">
        <v>103</v>
      </c>
      <c r="D53" t="s">
        <v>114</v>
      </c>
      <c r="E53" t="s">
        <v>115</v>
      </c>
      <c r="F53" t="s">
        <v>106</v>
      </c>
      <c r="G53" t="s">
        <v>369</v>
      </c>
      <c r="H53" t="s">
        <v>357</v>
      </c>
      <c r="I53" s="2">
        <v>1</v>
      </c>
      <c r="J53" s="2">
        <v>0.7</v>
      </c>
      <c r="K53" s="2">
        <v>0</v>
      </c>
      <c r="L53" s="2">
        <v>0.7</v>
      </c>
      <c r="M53" s="4">
        <f t="shared" si="5"/>
        <v>4</v>
      </c>
      <c r="N53" s="4">
        <f t="shared" si="6"/>
        <v>3</v>
      </c>
      <c r="O53" s="4">
        <f t="shared" si="7"/>
        <v>0</v>
      </c>
      <c r="P53" s="4">
        <f t="shared" si="8"/>
        <v>3</v>
      </c>
    </row>
    <row r="54" spans="1:16" x14ac:dyDescent="0.25">
      <c r="A54" t="s">
        <v>190</v>
      </c>
      <c r="B54" t="s">
        <v>35</v>
      </c>
      <c r="C54" t="s">
        <v>37</v>
      </c>
      <c r="D54" t="s">
        <v>191</v>
      </c>
      <c r="E54" t="s">
        <v>192</v>
      </c>
      <c r="F54" t="s">
        <v>40</v>
      </c>
      <c r="G54" t="s">
        <v>369</v>
      </c>
      <c r="H54" t="s">
        <v>362</v>
      </c>
      <c r="I54" s="2">
        <v>1</v>
      </c>
      <c r="J54" s="2">
        <v>0.7</v>
      </c>
      <c r="K54" s="2">
        <v>0</v>
      </c>
      <c r="L54" s="2">
        <v>0.7</v>
      </c>
      <c r="M54" s="4">
        <f t="shared" si="5"/>
        <v>4</v>
      </c>
      <c r="N54" s="4">
        <f t="shared" si="6"/>
        <v>3</v>
      </c>
      <c r="O54" s="4">
        <f t="shared" si="7"/>
        <v>0</v>
      </c>
      <c r="P54" s="4">
        <f t="shared" si="8"/>
        <v>3</v>
      </c>
    </row>
    <row r="55" spans="1:16" x14ac:dyDescent="0.25">
      <c r="A55" t="s">
        <v>150</v>
      </c>
      <c r="B55" t="s">
        <v>35</v>
      </c>
      <c r="C55" t="s">
        <v>37</v>
      </c>
      <c r="D55" t="s">
        <v>151</v>
      </c>
      <c r="E55" t="s">
        <v>152</v>
      </c>
      <c r="F55" t="s">
        <v>40</v>
      </c>
      <c r="G55" t="s">
        <v>370</v>
      </c>
      <c r="H55" t="s">
        <v>358</v>
      </c>
      <c r="I55" s="2">
        <v>1</v>
      </c>
      <c r="J55" s="2">
        <v>1</v>
      </c>
      <c r="K55" s="2">
        <v>0</v>
      </c>
      <c r="L55" s="2">
        <v>0.35</v>
      </c>
      <c r="M55" s="4">
        <f t="shared" si="5"/>
        <v>4</v>
      </c>
      <c r="N55" s="4">
        <f t="shared" si="6"/>
        <v>4</v>
      </c>
      <c r="O55" s="4">
        <f t="shared" si="7"/>
        <v>0</v>
      </c>
      <c r="P55" s="4">
        <f t="shared" si="8"/>
        <v>2</v>
      </c>
    </row>
    <row r="56" spans="1:16" x14ac:dyDescent="0.25">
      <c r="A56" t="s">
        <v>228</v>
      </c>
      <c r="B56" t="s">
        <v>35</v>
      </c>
      <c r="C56" t="s">
        <v>229</v>
      </c>
      <c r="D56" t="s">
        <v>230</v>
      </c>
      <c r="E56" t="s">
        <v>231</v>
      </c>
      <c r="F56" t="s">
        <v>232</v>
      </c>
      <c r="G56" t="s">
        <v>363</v>
      </c>
      <c r="H56" t="s">
        <v>359</v>
      </c>
      <c r="I56" s="2">
        <v>1</v>
      </c>
      <c r="J56" s="2">
        <v>1</v>
      </c>
      <c r="K56" s="2">
        <v>0</v>
      </c>
      <c r="L56" s="2">
        <v>0.35</v>
      </c>
      <c r="M56" s="4">
        <f t="shared" si="5"/>
        <v>4</v>
      </c>
      <c r="N56" s="4">
        <f t="shared" si="6"/>
        <v>4</v>
      </c>
      <c r="O56" s="4">
        <f t="shared" si="7"/>
        <v>0</v>
      </c>
      <c r="P56" s="4">
        <f t="shared" si="8"/>
        <v>2</v>
      </c>
    </row>
    <row r="57" spans="1:16" x14ac:dyDescent="0.25">
      <c r="A57" t="s">
        <v>233</v>
      </c>
      <c r="B57" t="s">
        <v>35</v>
      </c>
      <c r="C57" t="s">
        <v>234</v>
      </c>
      <c r="D57" t="s">
        <v>235</v>
      </c>
      <c r="E57" t="s">
        <v>236</v>
      </c>
      <c r="F57" t="s">
        <v>237</v>
      </c>
      <c r="G57" t="s">
        <v>372</v>
      </c>
      <c r="H57" t="s">
        <v>373</v>
      </c>
      <c r="I57" s="2">
        <v>0.7</v>
      </c>
      <c r="J57" s="2">
        <v>1</v>
      </c>
      <c r="K57" s="2">
        <v>0</v>
      </c>
      <c r="L57" s="2">
        <v>0.7</v>
      </c>
      <c r="M57" s="4">
        <f t="shared" si="5"/>
        <v>3</v>
      </c>
      <c r="N57" s="4">
        <f t="shared" si="6"/>
        <v>4</v>
      </c>
      <c r="O57" s="4">
        <f t="shared" si="7"/>
        <v>0</v>
      </c>
      <c r="P57" s="4">
        <f t="shared" si="8"/>
        <v>3</v>
      </c>
    </row>
    <row r="58" spans="1:16" x14ac:dyDescent="0.25">
      <c r="A58" t="s">
        <v>249</v>
      </c>
      <c r="B58" t="s">
        <v>35</v>
      </c>
      <c r="C58" t="s">
        <v>110</v>
      </c>
      <c r="D58" t="s">
        <v>21</v>
      </c>
      <c r="E58" t="s">
        <v>250</v>
      </c>
      <c r="F58" t="s">
        <v>112</v>
      </c>
      <c r="G58" t="s">
        <v>370</v>
      </c>
      <c r="H58" t="s">
        <v>373</v>
      </c>
      <c r="I58" s="2">
        <v>0.7</v>
      </c>
      <c r="J58" s="2">
        <v>0.7</v>
      </c>
      <c r="K58" s="2">
        <v>0.35</v>
      </c>
      <c r="L58" s="2">
        <v>1</v>
      </c>
      <c r="M58" s="4">
        <f t="shared" si="5"/>
        <v>3</v>
      </c>
      <c r="N58" s="4">
        <f t="shared" si="6"/>
        <v>3</v>
      </c>
      <c r="O58" s="4">
        <f t="shared" si="7"/>
        <v>2</v>
      </c>
      <c r="P58" s="4">
        <f t="shared" si="8"/>
        <v>4</v>
      </c>
    </row>
    <row r="59" spans="1:16" x14ac:dyDescent="0.25">
      <c r="A59" t="s">
        <v>242</v>
      </c>
      <c r="B59" t="s">
        <v>35</v>
      </c>
      <c r="C59" t="s">
        <v>85</v>
      </c>
      <c r="D59" t="s">
        <v>10</v>
      </c>
      <c r="E59" t="s">
        <v>243</v>
      </c>
      <c r="F59" t="s">
        <v>87</v>
      </c>
      <c r="G59" t="s">
        <v>370</v>
      </c>
      <c r="H59" t="s">
        <v>367</v>
      </c>
      <c r="I59" s="2">
        <v>0.7</v>
      </c>
      <c r="J59" s="2">
        <v>1</v>
      </c>
      <c r="K59" s="2">
        <v>0</v>
      </c>
      <c r="L59" s="2">
        <v>0.7</v>
      </c>
      <c r="M59" s="4">
        <f t="shared" si="5"/>
        <v>3</v>
      </c>
      <c r="N59" s="4">
        <f t="shared" si="6"/>
        <v>4</v>
      </c>
      <c r="O59" s="4">
        <f t="shared" si="7"/>
        <v>0</v>
      </c>
      <c r="P59" s="4">
        <f t="shared" si="8"/>
        <v>3</v>
      </c>
    </row>
    <row r="60" spans="1:16" x14ac:dyDescent="0.25">
      <c r="A60" t="s">
        <v>244</v>
      </c>
      <c r="B60" t="s">
        <v>35</v>
      </c>
      <c r="C60" t="s">
        <v>245</v>
      </c>
      <c r="D60" t="s">
        <v>246</v>
      </c>
      <c r="E60" t="s">
        <v>247</v>
      </c>
      <c r="F60" t="s">
        <v>248</v>
      </c>
      <c r="G60" t="s">
        <v>374</v>
      </c>
      <c r="H60" t="s">
        <v>362</v>
      </c>
      <c r="I60" s="2">
        <v>0.7</v>
      </c>
      <c r="J60" s="2">
        <v>1</v>
      </c>
      <c r="K60" s="2">
        <v>0</v>
      </c>
      <c r="L60" s="2">
        <v>0.7</v>
      </c>
      <c r="M60" s="4">
        <f t="shared" si="5"/>
        <v>3</v>
      </c>
      <c r="N60" s="4">
        <f t="shared" si="6"/>
        <v>4</v>
      </c>
      <c r="O60" s="4">
        <f t="shared" si="7"/>
        <v>0</v>
      </c>
      <c r="P60" s="4">
        <f t="shared" si="8"/>
        <v>3</v>
      </c>
    </row>
    <row r="61" spans="1:16" x14ac:dyDescent="0.25">
      <c r="A61" t="s">
        <v>307</v>
      </c>
      <c r="B61" t="s">
        <v>35</v>
      </c>
      <c r="C61" t="s">
        <v>267</v>
      </c>
      <c r="D61" t="s">
        <v>308</v>
      </c>
      <c r="E61" t="s">
        <v>208</v>
      </c>
      <c r="F61" t="s">
        <v>270</v>
      </c>
      <c r="G61" t="s">
        <v>372</v>
      </c>
      <c r="H61" t="s">
        <v>373</v>
      </c>
      <c r="I61" s="2">
        <v>0.7</v>
      </c>
      <c r="J61" s="2">
        <v>1</v>
      </c>
      <c r="K61" s="2">
        <v>0</v>
      </c>
      <c r="L61" s="2">
        <v>0.7</v>
      </c>
      <c r="M61" s="4">
        <f t="shared" si="5"/>
        <v>3</v>
      </c>
      <c r="N61" s="4">
        <f t="shared" si="6"/>
        <v>4</v>
      </c>
      <c r="O61" s="4">
        <f t="shared" si="7"/>
        <v>0</v>
      </c>
      <c r="P61" s="4">
        <f t="shared" si="8"/>
        <v>3</v>
      </c>
    </row>
    <row r="62" spans="1:16" x14ac:dyDescent="0.25">
      <c r="A62" t="s">
        <v>145</v>
      </c>
      <c r="B62" t="s">
        <v>35</v>
      </c>
      <c r="C62" t="s">
        <v>146</v>
      </c>
      <c r="D62" t="s">
        <v>147</v>
      </c>
      <c r="E62" t="s">
        <v>148</v>
      </c>
      <c r="F62" t="s">
        <v>149</v>
      </c>
      <c r="G62" t="s">
        <v>366</v>
      </c>
      <c r="H62" t="s">
        <v>359</v>
      </c>
      <c r="I62" s="2">
        <v>0.7</v>
      </c>
      <c r="J62" s="2">
        <v>1</v>
      </c>
      <c r="K62" s="2">
        <v>0</v>
      </c>
      <c r="L62" s="2">
        <v>0.7</v>
      </c>
      <c r="M62" s="4">
        <f t="shared" si="5"/>
        <v>3</v>
      </c>
      <c r="N62" s="4">
        <f t="shared" si="6"/>
        <v>4</v>
      </c>
      <c r="O62" s="4">
        <f t="shared" si="7"/>
        <v>0</v>
      </c>
      <c r="P62" s="4">
        <f t="shared" si="8"/>
        <v>3</v>
      </c>
    </row>
    <row r="63" spans="1:16" x14ac:dyDescent="0.25">
      <c r="A63" t="s">
        <v>299</v>
      </c>
      <c r="B63" t="s">
        <v>35</v>
      </c>
      <c r="C63" t="s">
        <v>180</v>
      </c>
      <c r="D63" t="s">
        <v>300</v>
      </c>
      <c r="E63" t="s">
        <v>301</v>
      </c>
      <c r="F63" t="s">
        <v>183</v>
      </c>
      <c r="G63" t="s">
        <v>372</v>
      </c>
      <c r="H63" t="s">
        <v>373</v>
      </c>
      <c r="I63" s="2">
        <v>0.7</v>
      </c>
      <c r="J63" s="2">
        <v>1</v>
      </c>
      <c r="K63" s="2">
        <v>0</v>
      </c>
      <c r="L63" s="2">
        <v>0.7</v>
      </c>
      <c r="M63" s="4">
        <f t="shared" si="5"/>
        <v>3</v>
      </c>
      <c r="N63" s="4">
        <f t="shared" si="6"/>
        <v>4</v>
      </c>
      <c r="O63" s="4">
        <f t="shared" si="7"/>
        <v>0</v>
      </c>
      <c r="P63" s="4">
        <f t="shared" si="8"/>
        <v>3</v>
      </c>
    </row>
    <row r="64" spans="1:16" x14ac:dyDescent="0.25">
      <c r="A64" t="s">
        <v>251</v>
      </c>
      <c r="B64" t="s">
        <v>35</v>
      </c>
      <c r="C64" t="s">
        <v>219</v>
      </c>
      <c r="D64" t="s">
        <v>252</v>
      </c>
      <c r="E64" t="s">
        <v>208</v>
      </c>
      <c r="F64" t="s">
        <v>221</v>
      </c>
      <c r="G64" t="s">
        <v>372</v>
      </c>
      <c r="H64" t="s">
        <v>373</v>
      </c>
      <c r="I64" s="2">
        <v>0.7</v>
      </c>
      <c r="J64" s="2">
        <v>0.7</v>
      </c>
      <c r="K64" s="2">
        <v>0</v>
      </c>
      <c r="L64" s="2">
        <v>0.7</v>
      </c>
      <c r="M64" s="4">
        <f t="shared" si="5"/>
        <v>3</v>
      </c>
      <c r="N64" s="4">
        <f t="shared" si="6"/>
        <v>3</v>
      </c>
      <c r="O64" s="4">
        <f t="shared" si="7"/>
        <v>0</v>
      </c>
      <c r="P64" s="4">
        <f t="shared" si="8"/>
        <v>3</v>
      </c>
    </row>
    <row r="65" spans="1:16" x14ac:dyDescent="0.25">
      <c r="A65" t="s">
        <v>253</v>
      </c>
      <c r="B65" t="s">
        <v>35</v>
      </c>
      <c r="C65" t="s">
        <v>245</v>
      </c>
      <c r="D65" t="s">
        <v>13</v>
      </c>
      <c r="E65" t="s">
        <v>254</v>
      </c>
      <c r="F65" t="s">
        <v>248</v>
      </c>
      <c r="G65" t="s">
        <v>374</v>
      </c>
      <c r="H65" t="s">
        <v>362</v>
      </c>
      <c r="I65" s="2">
        <v>0.7</v>
      </c>
      <c r="J65" s="2">
        <v>0.7</v>
      </c>
      <c r="K65" s="2">
        <v>0</v>
      </c>
      <c r="L65" s="2">
        <v>0.7</v>
      </c>
      <c r="M65" s="4">
        <f t="shared" si="5"/>
        <v>3</v>
      </c>
      <c r="N65" s="4">
        <f t="shared" si="6"/>
        <v>3</v>
      </c>
      <c r="O65" s="4">
        <f t="shared" si="7"/>
        <v>0</v>
      </c>
      <c r="P65" s="4">
        <f t="shared" si="8"/>
        <v>3</v>
      </c>
    </row>
    <row r="66" spans="1:16" x14ac:dyDescent="0.25">
      <c r="A66" t="s">
        <v>121</v>
      </c>
      <c r="B66" t="s">
        <v>35</v>
      </c>
      <c r="C66" t="s">
        <v>122</v>
      </c>
      <c r="D66" t="s">
        <v>26</v>
      </c>
      <c r="E66" t="s">
        <v>123</v>
      </c>
      <c r="F66" t="s">
        <v>124</v>
      </c>
      <c r="G66" t="s">
        <v>370</v>
      </c>
      <c r="H66" t="s">
        <v>371</v>
      </c>
      <c r="I66" s="2">
        <v>1</v>
      </c>
      <c r="J66" s="2">
        <v>0.7</v>
      </c>
      <c r="K66" s="2">
        <v>0</v>
      </c>
      <c r="L66" s="2">
        <v>0.35</v>
      </c>
      <c r="M66" s="4">
        <f t="shared" si="5"/>
        <v>4</v>
      </c>
      <c r="N66" s="4">
        <f t="shared" si="6"/>
        <v>3</v>
      </c>
      <c r="O66" s="4">
        <f t="shared" si="7"/>
        <v>0</v>
      </c>
      <c r="P66" s="4">
        <f t="shared" si="8"/>
        <v>2</v>
      </c>
    </row>
    <row r="67" spans="1:16" x14ac:dyDescent="0.25">
      <c r="A67" t="s">
        <v>196</v>
      </c>
      <c r="B67" t="s">
        <v>35</v>
      </c>
      <c r="C67" t="s">
        <v>37</v>
      </c>
      <c r="D67" t="s">
        <v>197</v>
      </c>
      <c r="E67" t="s">
        <v>198</v>
      </c>
      <c r="F67" t="s">
        <v>81</v>
      </c>
      <c r="G67" t="s">
        <v>360</v>
      </c>
      <c r="H67" t="s">
        <v>362</v>
      </c>
      <c r="I67" s="2">
        <v>1</v>
      </c>
      <c r="J67" s="2">
        <v>0.7</v>
      </c>
      <c r="K67" s="2">
        <v>0</v>
      </c>
      <c r="L67" s="2">
        <v>0.35</v>
      </c>
      <c r="M67" s="4">
        <f t="shared" ref="M67:M91" si="9">IF(I67=1,4,IF(I67=0.7,3,IF(I67=0.35,2,IF(I67=0.1,1,0))))</f>
        <v>4</v>
      </c>
      <c r="N67" s="4">
        <f t="shared" ref="N67:N91" si="10">IF(J67=1,4,IF(J67=0.7,3,IF(J67=0.35,2,IF(J67=0.1,1,0))))</f>
        <v>3</v>
      </c>
      <c r="O67" s="4">
        <f t="shared" ref="O67:O91" si="11">IF(K67=1,4,IF(K67=0.7,3,IF(K67=0.35,2,IF(K67=0.1,1,0))))</f>
        <v>0</v>
      </c>
      <c r="P67" s="4">
        <f t="shared" si="8"/>
        <v>2</v>
      </c>
    </row>
    <row r="68" spans="1:16" x14ac:dyDescent="0.25">
      <c r="A68" t="s">
        <v>262</v>
      </c>
      <c r="B68" t="s">
        <v>35</v>
      </c>
      <c r="C68" t="s">
        <v>263</v>
      </c>
      <c r="D68" t="s">
        <v>264</v>
      </c>
      <c r="E68" t="s">
        <v>208</v>
      </c>
      <c r="F68" t="s">
        <v>265</v>
      </c>
      <c r="G68" t="s">
        <v>372</v>
      </c>
      <c r="H68" t="s">
        <v>373</v>
      </c>
      <c r="I68" s="2">
        <v>0.7</v>
      </c>
      <c r="J68" s="2">
        <v>0.7</v>
      </c>
      <c r="K68" s="2">
        <v>0.1</v>
      </c>
      <c r="L68" s="2">
        <v>0.7</v>
      </c>
      <c r="M68" s="4">
        <f t="shared" si="9"/>
        <v>3</v>
      </c>
      <c r="N68" s="4">
        <f t="shared" si="10"/>
        <v>3</v>
      </c>
      <c r="O68" s="4">
        <f t="shared" si="11"/>
        <v>1</v>
      </c>
      <c r="P68" s="4">
        <f t="shared" si="8"/>
        <v>3</v>
      </c>
    </row>
    <row r="69" spans="1:16" x14ac:dyDescent="0.25">
      <c r="A69" t="s">
        <v>328</v>
      </c>
      <c r="B69" t="s">
        <v>35</v>
      </c>
      <c r="C69" t="s">
        <v>329</v>
      </c>
      <c r="D69" t="s">
        <v>330</v>
      </c>
      <c r="E69" t="s">
        <v>331</v>
      </c>
      <c r="F69" t="s">
        <v>332</v>
      </c>
      <c r="G69" t="s">
        <v>361</v>
      </c>
      <c r="H69" t="s">
        <v>359</v>
      </c>
      <c r="I69" s="2">
        <v>0.7</v>
      </c>
      <c r="J69" s="2">
        <v>0.7</v>
      </c>
      <c r="K69" s="2">
        <v>0</v>
      </c>
      <c r="L69" s="2">
        <v>0.7</v>
      </c>
      <c r="M69" s="4">
        <f t="shared" si="9"/>
        <v>3</v>
      </c>
      <c r="N69" s="4">
        <f t="shared" si="10"/>
        <v>3</v>
      </c>
      <c r="O69" s="4">
        <f t="shared" si="11"/>
        <v>0</v>
      </c>
      <c r="P69" s="4">
        <f t="shared" si="8"/>
        <v>3</v>
      </c>
    </row>
    <row r="70" spans="1:16" x14ac:dyDescent="0.25">
      <c r="A70" t="s">
        <v>275</v>
      </c>
      <c r="B70" t="s">
        <v>35</v>
      </c>
      <c r="C70" t="s">
        <v>245</v>
      </c>
      <c r="D70" t="s">
        <v>24</v>
      </c>
      <c r="E70" t="s">
        <v>276</v>
      </c>
      <c r="F70" t="s">
        <v>248</v>
      </c>
      <c r="G70" t="s">
        <v>374</v>
      </c>
      <c r="H70" t="s">
        <v>362</v>
      </c>
      <c r="I70" s="2">
        <v>0.7</v>
      </c>
      <c r="J70" s="2">
        <v>0.7</v>
      </c>
      <c r="K70" s="2">
        <v>0</v>
      </c>
      <c r="L70" s="2">
        <v>0.7</v>
      </c>
      <c r="M70" s="4">
        <f t="shared" si="9"/>
        <v>3</v>
      </c>
      <c r="N70" s="4">
        <f t="shared" si="10"/>
        <v>3</v>
      </c>
      <c r="O70" s="4">
        <f t="shared" si="11"/>
        <v>0</v>
      </c>
      <c r="P70" s="4">
        <f t="shared" si="8"/>
        <v>3</v>
      </c>
    </row>
    <row r="71" spans="1:16" x14ac:dyDescent="0.25">
      <c r="A71" t="s">
        <v>280</v>
      </c>
      <c r="B71" t="s">
        <v>35</v>
      </c>
      <c r="C71" t="s">
        <v>146</v>
      </c>
      <c r="D71" t="s">
        <v>281</v>
      </c>
      <c r="E71" t="s">
        <v>282</v>
      </c>
      <c r="F71" t="s">
        <v>149</v>
      </c>
      <c r="G71" t="s">
        <v>363</v>
      </c>
      <c r="H71" t="s">
        <v>358</v>
      </c>
      <c r="I71" s="2">
        <v>0.7</v>
      </c>
      <c r="J71" s="2">
        <v>0.7</v>
      </c>
      <c r="K71" s="2">
        <v>0</v>
      </c>
      <c r="L71" s="2">
        <v>0.7</v>
      </c>
      <c r="M71" s="4">
        <f t="shared" si="9"/>
        <v>3</v>
      </c>
      <c r="N71" s="4">
        <f t="shared" si="10"/>
        <v>3</v>
      </c>
      <c r="O71" s="4">
        <f t="shared" si="11"/>
        <v>0</v>
      </c>
      <c r="P71" s="4">
        <f t="shared" si="8"/>
        <v>3</v>
      </c>
    </row>
    <row r="72" spans="1:16" x14ac:dyDescent="0.25">
      <c r="A72" t="s">
        <v>283</v>
      </c>
      <c r="B72" t="s">
        <v>35</v>
      </c>
      <c r="C72" t="s">
        <v>42</v>
      </c>
      <c r="D72" t="s">
        <v>281</v>
      </c>
      <c r="E72" t="s">
        <v>284</v>
      </c>
      <c r="F72" t="s">
        <v>45</v>
      </c>
      <c r="G72" t="s">
        <v>361</v>
      </c>
      <c r="H72" t="s">
        <v>362</v>
      </c>
      <c r="I72" s="2">
        <v>1</v>
      </c>
      <c r="J72" s="2">
        <v>0.35</v>
      </c>
      <c r="K72" s="2">
        <v>0</v>
      </c>
      <c r="L72" s="2">
        <v>0.7</v>
      </c>
      <c r="M72" s="4">
        <f t="shared" si="9"/>
        <v>4</v>
      </c>
      <c r="N72" s="4">
        <f t="shared" si="10"/>
        <v>2</v>
      </c>
      <c r="O72" s="4">
        <f t="shared" si="11"/>
        <v>0</v>
      </c>
      <c r="P72" s="4">
        <f t="shared" si="8"/>
        <v>3</v>
      </c>
    </row>
    <row r="73" spans="1:16" x14ac:dyDescent="0.25">
      <c r="A73" t="s">
        <v>285</v>
      </c>
      <c r="B73" t="s">
        <v>35</v>
      </c>
      <c r="C73" t="s">
        <v>239</v>
      </c>
      <c r="D73" t="s">
        <v>16</v>
      </c>
      <c r="E73" t="s">
        <v>286</v>
      </c>
      <c r="F73" t="s">
        <v>241</v>
      </c>
      <c r="G73" t="s">
        <v>361</v>
      </c>
      <c r="H73" t="s">
        <v>359</v>
      </c>
      <c r="I73" s="2">
        <v>0.7</v>
      </c>
      <c r="J73" s="2">
        <v>1</v>
      </c>
      <c r="K73" s="2">
        <v>0</v>
      </c>
      <c r="L73" s="2">
        <v>0.7</v>
      </c>
      <c r="M73" s="4">
        <f t="shared" si="9"/>
        <v>3</v>
      </c>
      <c r="N73" s="4">
        <f t="shared" si="10"/>
        <v>4</v>
      </c>
      <c r="O73" s="4">
        <f t="shared" si="11"/>
        <v>0</v>
      </c>
      <c r="P73" s="4">
        <f t="shared" si="8"/>
        <v>3</v>
      </c>
    </row>
    <row r="74" spans="1:16" x14ac:dyDescent="0.25">
      <c r="A74" t="s">
        <v>287</v>
      </c>
      <c r="B74" t="s">
        <v>35</v>
      </c>
      <c r="C74" t="s">
        <v>288</v>
      </c>
      <c r="D74" t="s">
        <v>289</v>
      </c>
      <c r="E74" t="s">
        <v>290</v>
      </c>
      <c r="F74" t="s">
        <v>291</v>
      </c>
      <c r="G74" t="s">
        <v>369</v>
      </c>
      <c r="H74" t="s">
        <v>371</v>
      </c>
      <c r="I74" s="2">
        <v>0.7</v>
      </c>
      <c r="J74" s="2">
        <v>1</v>
      </c>
      <c r="K74" s="2">
        <v>0</v>
      </c>
      <c r="L74" s="2">
        <v>0.7</v>
      </c>
      <c r="M74" s="4">
        <f t="shared" si="9"/>
        <v>3</v>
      </c>
      <c r="N74" s="4">
        <f t="shared" si="10"/>
        <v>4</v>
      </c>
      <c r="O74" s="4">
        <f t="shared" si="11"/>
        <v>0</v>
      </c>
      <c r="P74" s="4">
        <f t="shared" si="8"/>
        <v>3</v>
      </c>
    </row>
    <row r="75" spans="1:16" x14ac:dyDescent="0.25">
      <c r="A75" t="s">
        <v>292</v>
      </c>
      <c r="B75" t="s">
        <v>35</v>
      </c>
      <c r="C75" t="s">
        <v>293</v>
      </c>
      <c r="D75" t="s">
        <v>294</v>
      </c>
      <c r="E75" t="s">
        <v>295</v>
      </c>
      <c r="F75" t="s">
        <v>296</v>
      </c>
      <c r="G75" t="s">
        <v>372</v>
      </c>
      <c r="H75" t="s">
        <v>373</v>
      </c>
      <c r="I75" s="2">
        <v>0.7</v>
      </c>
      <c r="J75" s="2">
        <v>0.7</v>
      </c>
      <c r="K75" s="2">
        <v>0</v>
      </c>
      <c r="L75" s="2">
        <v>0.7</v>
      </c>
      <c r="M75" s="4">
        <f t="shared" si="9"/>
        <v>3</v>
      </c>
      <c r="N75" s="4">
        <f t="shared" si="10"/>
        <v>3</v>
      </c>
      <c r="O75" s="4">
        <f t="shared" si="11"/>
        <v>0</v>
      </c>
      <c r="P75" s="4">
        <f t="shared" si="8"/>
        <v>3</v>
      </c>
    </row>
    <row r="76" spans="1:16" x14ac:dyDescent="0.25">
      <c r="A76" t="s">
        <v>297</v>
      </c>
      <c r="B76" t="s">
        <v>35</v>
      </c>
      <c r="C76" t="s">
        <v>293</v>
      </c>
      <c r="D76" t="s">
        <v>298</v>
      </c>
      <c r="E76" t="s">
        <v>295</v>
      </c>
      <c r="F76" t="s">
        <v>296</v>
      </c>
      <c r="G76" t="s">
        <v>372</v>
      </c>
      <c r="H76" t="s">
        <v>373</v>
      </c>
      <c r="I76" s="2">
        <v>0.7</v>
      </c>
      <c r="J76" s="2">
        <v>0.7</v>
      </c>
      <c r="K76" s="2">
        <v>0</v>
      </c>
      <c r="L76" s="2">
        <v>0.7</v>
      </c>
      <c r="M76" s="4">
        <f t="shared" si="9"/>
        <v>3</v>
      </c>
      <c r="N76" s="4">
        <f t="shared" si="10"/>
        <v>3</v>
      </c>
      <c r="O76" s="4">
        <f t="shared" si="11"/>
        <v>0</v>
      </c>
      <c r="P76" s="4">
        <f t="shared" si="8"/>
        <v>3</v>
      </c>
    </row>
    <row r="77" spans="1:16" x14ac:dyDescent="0.25">
      <c r="A77" t="s">
        <v>158</v>
      </c>
      <c r="B77" t="s">
        <v>35</v>
      </c>
      <c r="C77" t="s">
        <v>91</v>
      </c>
      <c r="D77" t="s">
        <v>159</v>
      </c>
      <c r="E77" t="s">
        <v>160</v>
      </c>
      <c r="F77" t="s">
        <v>94</v>
      </c>
      <c r="G77" t="s">
        <v>361</v>
      </c>
      <c r="H77" t="s">
        <v>367</v>
      </c>
      <c r="I77" s="2">
        <v>1</v>
      </c>
      <c r="J77" s="2">
        <v>0.7</v>
      </c>
      <c r="K77" s="2">
        <v>0</v>
      </c>
      <c r="L77" s="2">
        <v>0.35</v>
      </c>
      <c r="M77" s="4">
        <f t="shared" si="9"/>
        <v>4</v>
      </c>
      <c r="N77" s="4">
        <f t="shared" si="10"/>
        <v>3</v>
      </c>
      <c r="O77" s="4">
        <f t="shared" si="11"/>
        <v>0</v>
      </c>
      <c r="P77" s="4">
        <f t="shared" si="8"/>
        <v>2</v>
      </c>
    </row>
    <row r="78" spans="1:16" x14ac:dyDescent="0.25">
      <c r="A78" t="s">
        <v>238</v>
      </c>
      <c r="B78" t="s">
        <v>35</v>
      </c>
      <c r="C78" t="s">
        <v>239</v>
      </c>
      <c r="D78" t="s">
        <v>18</v>
      </c>
      <c r="E78" t="s">
        <v>240</v>
      </c>
      <c r="F78" t="s">
        <v>241</v>
      </c>
      <c r="G78" t="s">
        <v>368</v>
      </c>
      <c r="H78" t="s">
        <v>359</v>
      </c>
      <c r="I78" s="2">
        <v>0.35</v>
      </c>
      <c r="J78" s="2">
        <v>1</v>
      </c>
      <c r="K78" s="2">
        <v>0.1</v>
      </c>
      <c r="L78" s="2">
        <v>1</v>
      </c>
      <c r="M78" s="4">
        <f t="shared" si="9"/>
        <v>2</v>
      </c>
      <c r="N78" s="4">
        <f t="shared" si="10"/>
        <v>4</v>
      </c>
      <c r="O78" s="4">
        <f t="shared" si="11"/>
        <v>1</v>
      </c>
      <c r="P78" s="4">
        <f t="shared" si="8"/>
        <v>4</v>
      </c>
    </row>
    <row r="79" spans="1:16" x14ac:dyDescent="0.25">
      <c r="A79" t="s">
        <v>302</v>
      </c>
      <c r="B79" t="s">
        <v>35</v>
      </c>
      <c r="C79" t="s">
        <v>303</v>
      </c>
      <c r="D79" t="s">
        <v>304</v>
      </c>
      <c r="E79" t="s">
        <v>305</v>
      </c>
      <c r="F79" t="s">
        <v>306</v>
      </c>
      <c r="G79" t="s">
        <v>374</v>
      </c>
      <c r="H79" t="s">
        <v>359</v>
      </c>
      <c r="I79" s="2">
        <v>0.7</v>
      </c>
      <c r="J79" s="2">
        <v>0.7</v>
      </c>
      <c r="K79" s="2">
        <v>0</v>
      </c>
      <c r="L79" s="2">
        <v>0.7</v>
      </c>
      <c r="M79" s="4">
        <f t="shared" si="9"/>
        <v>3</v>
      </c>
      <c r="N79" s="4">
        <f t="shared" si="10"/>
        <v>3</v>
      </c>
      <c r="O79" s="4">
        <f t="shared" si="11"/>
        <v>0</v>
      </c>
      <c r="P79" s="4">
        <f t="shared" ref="P79:P90" si="12">IF(L79=1,4,IF(L79=0.7,3,IF(L79=0.35,2,IF(L79=0.1,1,0))))</f>
        <v>3</v>
      </c>
    </row>
    <row r="80" spans="1:16" x14ac:dyDescent="0.25">
      <c r="A80" t="s">
        <v>314</v>
      </c>
      <c r="B80" t="s">
        <v>35</v>
      </c>
      <c r="C80" t="s">
        <v>37</v>
      </c>
      <c r="D80" t="s">
        <v>315</v>
      </c>
      <c r="E80" t="s">
        <v>316</v>
      </c>
      <c r="F80" t="s">
        <v>40</v>
      </c>
      <c r="G80" t="s">
        <v>375</v>
      </c>
      <c r="H80" t="s">
        <v>357</v>
      </c>
      <c r="I80" s="2">
        <v>0.7</v>
      </c>
      <c r="J80" s="2">
        <v>0.7</v>
      </c>
      <c r="K80" s="2">
        <v>0</v>
      </c>
      <c r="L80" s="2">
        <v>0.7</v>
      </c>
      <c r="M80" s="4">
        <f t="shared" si="9"/>
        <v>3</v>
      </c>
      <c r="N80" s="4">
        <f t="shared" si="10"/>
        <v>3</v>
      </c>
      <c r="O80" s="4">
        <f t="shared" si="11"/>
        <v>0</v>
      </c>
      <c r="P80" s="4">
        <f t="shared" si="12"/>
        <v>3</v>
      </c>
    </row>
    <row r="81" spans="1:16" x14ac:dyDescent="0.25">
      <c r="A81" t="s">
        <v>319</v>
      </c>
      <c r="B81" t="s">
        <v>35</v>
      </c>
      <c r="C81" t="s">
        <v>245</v>
      </c>
      <c r="D81" t="s">
        <v>320</v>
      </c>
      <c r="E81" t="s">
        <v>321</v>
      </c>
      <c r="F81" t="s">
        <v>248</v>
      </c>
      <c r="G81" t="s">
        <v>374</v>
      </c>
      <c r="H81" t="s">
        <v>362</v>
      </c>
      <c r="I81" s="2">
        <v>0.7</v>
      </c>
      <c r="J81" s="2">
        <v>0.7</v>
      </c>
      <c r="K81" s="2">
        <v>0</v>
      </c>
      <c r="L81" s="2">
        <v>0.7</v>
      </c>
      <c r="M81" s="4">
        <f t="shared" si="9"/>
        <v>3</v>
      </c>
      <c r="N81" s="4">
        <f t="shared" si="10"/>
        <v>3</v>
      </c>
      <c r="O81" s="4">
        <f t="shared" si="11"/>
        <v>0</v>
      </c>
      <c r="P81" s="4">
        <f t="shared" si="12"/>
        <v>3</v>
      </c>
    </row>
    <row r="82" spans="1:16" x14ac:dyDescent="0.25">
      <c r="A82" t="s">
        <v>346</v>
      </c>
      <c r="B82" t="s">
        <v>35</v>
      </c>
      <c r="C82" t="s">
        <v>42</v>
      </c>
      <c r="D82" t="s">
        <v>347</v>
      </c>
      <c r="E82" t="s">
        <v>348</v>
      </c>
      <c r="F82" t="s">
        <v>45</v>
      </c>
      <c r="G82" t="s">
        <v>368</v>
      </c>
      <c r="H82" t="s">
        <v>362</v>
      </c>
      <c r="I82" s="2">
        <v>0.7</v>
      </c>
      <c r="J82" s="2">
        <v>0.7</v>
      </c>
      <c r="K82" s="2">
        <v>0</v>
      </c>
      <c r="L82" s="2">
        <v>0.7</v>
      </c>
      <c r="M82" s="4">
        <f t="shared" si="9"/>
        <v>3</v>
      </c>
      <c r="N82" s="4">
        <f t="shared" si="10"/>
        <v>3</v>
      </c>
      <c r="O82" s="4">
        <f t="shared" si="11"/>
        <v>0</v>
      </c>
      <c r="P82" s="4">
        <f t="shared" si="12"/>
        <v>3</v>
      </c>
    </row>
    <row r="83" spans="1:16" x14ac:dyDescent="0.25">
      <c r="A83" t="s">
        <v>271</v>
      </c>
      <c r="B83" t="s">
        <v>35</v>
      </c>
      <c r="C83" t="s">
        <v>272</v>
      </c>
      <c r="D83" t="s">
        <v>31</v>
      </c>
      <c r="E83" t="s">
        <v>273</v>
      </c>
      <c r="F83" t="s">
        <v>274</v>
      </c>
      <c r="G83" t="s">
        <v>361</v>
      </c>
      <c r="H83" t="s">
        <v>359</v>
      </c>
      <c r="I83" s="2">
        <v>0.7</v>
      </c>
      <c r="J83" s="2">
        <v>0.7</v>
      </c>
      <c r="K83" s="2">
        <v>0</v>
      </c>
      <c r="L83" s="2">
        <v>0.7</v>
      </c>
      <c r="M83" s="4">
        <f t="shared" si="9"/>
        <v>3</v>
      </c>
      <c r="N83" s="4">
        <f t="shared" si="10"/>
        <v>3</v>
      </c>
      <c r="O83" s="4">
        <f t="shared" si="11"/>
        <v>0</v>
      </c>
      <c r="P83" s="4">
        <f t="shared" si="12"/>
        <v>3</v>
      </c>
    </row>
    <row r="84" spans="1:16" x14ac:dyDescent="0.25">
      <c r="A84" t="s">
        <v>322</v>
      </c>
      <c r="B84" t="s">
        <v>35</v>
      </c>
      <c r="C84" t="s">
        <v>288</v>
      </c>
      <c r="D84" t="s">
        <v>323</v>
      </c>
      <c r="E84" t="s">
        <v>324</v>
      </c>
      <c r="F84" t="s">
        <v>291</v>
      </c>
      <c r="G84" t="s">
        <v>374</v>
      </c>
      <c r="H84" t="s">
        <v>371</v>
      </c>
      <c r="I84" s="2">
        <v>0.7</v>
      </c>
      <c r="J84" s="2">
        <v>0.7</v>
      </c>
      <c r="K84" s="2">
        <v>0</v>
      </c>
      <c r="L84" s="2">
        <v>0.7</v>
      </c>
      <c r="M84" s="4">
        <f t="shared" si="9"/>
        <v>3</v>
      </c>
      <c r="N84" s="4">
        <f t="shared" si="10"/>
        <v>3</v>
      </c>
      <c r="O84" s="4">
        <f t="shared" si="11"/>
        <v>0</v>
      </c>
      <c r="P84" s="4">
        <f t="shared" si="12"/>
        <v>3</v>
      </c>
    </row>
    <row r="85" spans="1:16" x14ac:dyDescent="0.25">
      <c r="A85" t="s">
        <v>325</v>
      </c>
      <c r="B85" t="s">
        <v>35</v>
      </c>
      <c r="C85" t="s">
        <v>103</v>
      </c>
      <c r="D85" t="s">
        <v>326</v>
      </c>
      <c r="E85" t="s">
        <v>327</v>
      </c>
      <c r="F85" t="s">
        <v>106</v>
      </c>
      <c r="G85" t="s">
        <v>361</v>
      </c>
      <c r="H85" t="s">
        <v>357</v>
      </c>
      <c r="I85" s="2">
        <v>0.7</v>
      </c>
      <c r="J85" s="2">
        <v>1</v>
      </c>
      <c r="K85" s="2">
        <v>0</v>
      </c>
      <c r="L85" s="2">
        <v>0.35</v>
      </c>
      <c r="M85" s="4">
        <f t="shared" si="9"/>
        <v>3</v>
      </c>
      <c r="N85" s="4">
        <f t="shared" si="10"/>
        <v>4</v>
      </c>
      <c r="O85" s="4">
        <f t="shared" si="11"/>
        <v>0</v>
      </c>
      <c r="P85" s="4">
        <f t="shared" si="12"/>
        <v>2</v>
      </c>
    </row>
    <row r="86" spans="1:16" x14ac:dyDescent="0.25">
      <c r="A86" t="s">
        <v>342</v>
      </c>
      <c r="B86" t="s">
        <v>35</v>
      </c>
      <c r="C86" t="s">
        <v>343</v>
      </c>
      <c r="D86" t="s">
        <v>140</v>
      </c>
      <c r="E86" t="s">
        <v>344</v>
      </c>
      <c r="F86" t="s">
        <v>345</v>
      </c>
      <c r="G86" t="s">
        <v>372</v>
      </c>
      <c r="H86" t="s">
        <v>359</v>
      </c>
      <c r="I86" s="2">
        <v>0.7</v>
      </c>
      <c r="J86" s="2">
        <v>0.7</v>
      </c>
      <c r="K86" s="2">
        <v>0</v>
      </c>
      <c r="L86" s="2">
        <v>0.35</v>
      </c>
      <c r="M86" s="4">
        <f t="shared" si="9"/>
        <v>3</v>
      </c>
      <c r="N86" s="4">
        <f t="shared" si="10"/>
        <v>3</v>
      </c>
      <c r="O86" s="4">
        <f t="shared" si="11"/>
        <v>0</v>
      </c>
      <c r="P86" s="4">
        <f t="shared" si="12"/>
        <v>2</v>
      </c>
    </row>
    <row r="87" spans="1:16" x14ac:dyDescent="0.25">
      <c r="A87" t="s">
        <v>333</v>
      </c>
      <c r="B87" t="s">
        <v>35</v>
      </c>
      <c r="C87" t="s">
        <v>64</v>
      </c>
      <c r="D87" t="s">
        <v>334</v>
      </c>
      <c r="E87" t="s">
        <v>335</v>
      </c>
      <c r="F87" t="s">
        <v>67</v>
      </c>
      <c r="G87" t="s">
        <v>372</v>
      </c>
      <c r="H87" t="s">
        <v>373</v>
      </c>
      <c r="I87" s="2">
        <v>0.35</v>
      </c>
      <c r="J87" s="2">
        <v>0.7</v>
      </c>
      <c r="K87" s="2">
        <v>0</v>
      </c>
      <c r="L87" s="2">
        <v>0.7</v>
      </c>
      <c r="M87" s="4">
        <f t="shared" si="9"/>
        <v>2</v>
      </c>
      <c r="N87" s="4">
        <f t="shared" si="10"/>
        <v>3</v>
      </c>
      <c r="O87" s="4">
        <f t="shared" si="11"/>
        <v>0</v>
      </c>
      <c r="P87" s="4">
        <f t="shared" si="12"/>
        <v>3</v>
      </c>
    </row>
    <row r="88" spans="1:16" x14ac:dyDescent="0.25">
      <c r="A88" t="s">
        <v>339</v>
      </c>
      <c r="B88" t="s">
        <v>35</v>
      </c>
      <c r="C88" t="s">
        <v>263</v>
      </c>
      <c r="D88" t="s">
        <v>340</v>
      </c>
      <c r="E88" t="s">
        <v>341</v>
      </c>
      <c r="F88" t="s">
        <v>265</v>
      </c>
      <c r="G88" t="s">
        <v>366</v>
      </c>
      <c r="H88" t="s">
        <v>359</v>
      </c>
      <c r="I88" s="2">
        <v>0.7</v>
      </c>
      <c r="J88" s="2">
        <v>0.35</v>
      </c>
      <c r="K88" s="2">
        <v>0</v>
      </c>
      <c r="L88" s="2">
        <v>0.35</v>
      </c>
      <c r="M88" s="4">
        <f t="shared" si="9"/>
        <v>3</v>
      </c>
      <c r="N88" s="4">
        <f t="shared" si="10"/>
        <v>2</v>
      </c>
      <c r="O88" s="4">
        <f t="shared" si="11"/>
        <v>0</v>
      </c>
      <c r="P88" s="4">
        <f t="shared" si="12"/>
        <v>2</v>
      </c>
    </row>
    <row r="89" spans="1:16" x14ac:dyDescent="0.25">
      <c r="A89" t="s">
        <v>336</v>
      </c>
      <c r="B89" t="s">
        <v>35</v>
      </c>
      <c r="C89" t="s">
        <v>229</v>
      </c>
      <c r="D89" t="s">
        <v>337</v>
      </c>
      <c r="E89" t="s">
        <v>338</v>
      </c>
      <c r="F89" t="s">
        <v>232</v>
      </c>
      <c r="G89" t="s">
        <v>361</v>
      </c>
      <c r="H89" t="s">
        <v>359</v>
      </c>
      <c r="I89" s="2">
        <v>0.7</v>
      </c>
      <c r="J89" s="2">
        <v>0.35</v>
      </c>
      <c r="K89" s="2">
        <v>0</v>
      </c>
      <c r="L89" s="2">
        <v>0.35</v>
      </c>
      <c r="M89" s="4">
        <f t="shared" si="9"/>
        <v>3</v>
      </c>
      <c r="N89" s="4">
        <f t="shared" si="10"/>
        <v>2</v>
      </c>
      <c r="O89" s="4">
        <f t="shared" si="11"/>
        <v>0</v>
      </c>
      <c r="P89" s="4">
        <f t="shared" si="12"/>
        <v>2</v>
      </c>
    </row>
    <row r="90" spans="1:16" x14ac:dyDescent="0.25">
      <c r="A90" t="s">
        <v>277</v>
      </c>
      <c r="B90" t="s">
        <v>35</v>
      </c>
      <c r="C90" t="s">
        <v>154</v>
      </c>
      <c r="D90" t="s">
        <v>278</v>
      </c>
      <c r="E90" t="s">
        <v>279</v>
      </c>
      <c r="F90" t="s">
        <v>157</v>
      </c>
      <c r="G90" t="s">
        <v>372</v>
      </c>
      <c r="H90" t="s">
        <v>359</v>
      </c>
      <c r="I90" s="2">
        <v>0.35</v>
      </c>
      <c r="J90" s="2">
        <v>0.35</v>
      </c>
      <c r="K90" s="2">
        <v>0</v>
      </c>
      <c r="L90" s="2">
        <v>0.35</v>
      </c>
      <c r="M90" s="4">
        <f t="shared" si="9"/>
        <v>2</v>
      </c>
      <c r="N90" s="4">
        <f t="shared" si="10"/>
        <v>2</v>
      </c>
      <c r="O90" s="4">
        <f t="shared" si="11"/>
        <v>0</v>
      </c>
      <c r="P90" s="4">
        <f t="shared" si="12"/>
        <v>2</v>
      </c>
    </row>
    <row r="91" spans="1:16" x14ac:dyDescent="0.25">
      <c r="A91" t="s">
        <v>349</v>
      </c>
      <c r="B91" t="s">
        <v>35</v>
      </c>
      <c r="C91" t="s">
        <v>350</v>
      </c>
      <c r="D91" t="s">
        <v>351</v>
      </c>
      <c r="E91" t="s">
        <v>208</v>
      </c>
      <c r="F91" t="s">
        <v>352</v>
      </c>
      <c r="G91" t="s">
        <v>372</v>
      </c>
      <c r="H91" t="s">
        <v>373</v>
      </c>
      <c r="I91" s="2">
        <v>0.35</v>
      </c>
      <c r="J91" s="2">
        <v>0.1</v>
      </c>
      <c r="K91" s="2">
        <v>0</v>
      </c>
      <c r="L91" s="2">
        <v>0.35</v>
      </c>
      <c r="M91" s="4">
        <f t="shared" si="9"/>
        <v>2</v>
      </c>
      <c r="N91" s="4">
        <f t="shared" si="10"/>
        <v>1</v>
      </c>
      <c r="O91" s="4">
        <f t="shared" si="11"/>
        <v>0</v>
      </c>
      <c r="P91" s="4">
        <f t="shared" ref="P91" si="13">IF(L91=1,4,IF(L91=0.7,3,IF(L91=0.35,2,IF(L91=0.1,1,0))))</f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1"/>
  <sheetViews>
    <sheetView workbookViewId="0">
      <pane ySplit="1" topLeftCell="A2" activePane="bottomLeft" state="frozen"/>
      <selection pane="bottomLeft" activeCell="G1" sqref="G1:H1"/>
    </sheetView>
  </sheetViews>
  <sheetFormatPr defaultColWidth="26.28515625" defaultRowHeight="15" x14ac:dyDescent="0.25"/>
  <cols>
    <col min="1" max="1" width="12.5703125" bestFit="1" customWidth="1"/>
    <col min="2" max="2" width="10.5703125" bestFit="1" customWidth="1"/>
    <col min="3" max="3" width="7.5703125" bestFit="1" customWidth="1"/>
    <col min="4" max="4" width="6.140625" bestFit="1" customWidth="1"/>
    <col min="5" max="5" width="68.28515625" bestFit="1" customWidth="1"/>
    <col min="6" max="6" width="48" bestFit="1" customWidth="1"/>
    <col min="7" max="7" width="26.7109375" bestFit="1" customWidth="1"/>
    <col min="8" max="8" width="35" bestFit="1" customWidth="1"/>
    <col min="9" max="12" width="17.7109375" customWidth="1"/>
    <col min="13" max="16" width="10.7109375" customWidth="1"/>
  </cols>
  <sheetData>
    <row r="1" spans="1:16" x14ac:dyDescent="0.25">
      <c r="A1" s="6" t="s">
        <v>353</v>
      </c>
      <c r="B1" s="6" t="s">
        <v>354</v>
      </c>
      <c r="C1" s="6" t="s">
        <v>32</v>
      </c>
      <c r="D1" s="6" t="s">
        <v>9</v>
      </c>
      <c r="E1" s="6" t="s">
        <v>33</v>
      </c>
      <c r="F1" s="6" t="s">
        <v>34</v>
      </c>
      <c r="G1" s="6" t="s">
        <v>355</v>
      </c>
      <c r="H1" s="6" t="s">
        <v>356</v>
      </c>
      <c r="I1" s="1" t="s">
        <v>0</v>
      </c>
      <c r="J1" s="1" t="s">
        <v>1</v>
      </c>
      <c r="K1" s="1" t="s">
        <v>2</v>
      </c>
      <c r="L1" s="1" t="s">
        <v>3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 x14ac:dyDescent="0.25">
      <c r="A2" t="s">
        <v>125</v>
      </c>
      <c r="B2" t="s">
        <v>35</v>
      </c>
      <c r="C2" t="s">
        <v>126</v>
      </c>
      <c r="D2" t="s">
        <v>70</v>
      </c>
      <c r="E2" t="s">
        <v>127</v>
      </c>
      <c r="F2" t="s">
        <v>128</v>
      </c>
      <c r="G2" t="s">
        <v>370</v>
      </c>
      <c r="H2" t="s">
        <v>371</v>
      </c>
      <c r="I2" s="2">
        <v>1</v>
      </c>
      <c r="J2" s="2">
        <v>1</v>
      </c>
      <c r="K2" s="2">
        <v>0</v>
      </c>
      <c r="L2" s="2">
        <v>1</v>
      </c>
      <c r="M2" s="4">
        <f t="shared" ref="M2:M33" si="0">IF(I2=1,4,IF(I2=0.7,3,IF(I2=0.35,2,IF(I2=0.1,1,0))))</f>
        <v>4</v>
      </c>
      <c r="N2" s="4">
        <f t="shared" ref="N2:N33" si="1">IF(J2=1,4,IF(J2=0.7,3,IF(J2=0.35,2,IF(J2=0.1,1,0))))</f>
        <v>4</v>
      </c>
      <c r="O2" s="4">
        <f t="shared" ref="O2:O33" si="2">IF(K2=1,4,IF(K2=0.7,3,IF(K2=0.35,2,IF(K2=0.1,1,0))))</f>
        <v>0</v>
      </c>
      <c r="P2" s="4">
        <f t="shared" ref="P2:P29" si="3">IF(L2=1,4,IF(L2=0.7,3,IF(L2=0.35,2,IF(L2=0.1,1,0))))</f>
        <v>4</v>
      </c>
    </row>
    <row r="3" spans="1:16" x14ac:dyDescent="0.25">
      <c r="A3" t="s">
        <v>36</v>
      </c>
      <c r="B3" t="s">
        <v>35</v>
      </c>
      <c r="C3" t="s">
        <v>37</v>
      </c>
      <c r="D3" t="s">
        <v>38</v>
      </c>
      <c r="E3" t="s">
        <v>39</v>
      </c>
      <c r="F3" t="s">
        <v>40</v>
      </c>
      <c r="G3" t="s">
        <v>360</v>
      </c>
      <c r="H3" t="s">
        <v>357</v>
      </c>
      <c r="I3" s="2">
        <v>1</v>
      </c>
      <c r="J3" s="2">
        <v>1</v>
      </c>
      <c r="K3" s="2">
        <v>0</v>
      </c>
      <c r="L3" s="2">
        <v>1</v>
      </c>
      <c r="M3" s="4">
        <f t="shared" si="0"/>
        <v>4</v>
      </c>
      <c r="N3" s="4">
        <f t="shared" si="1"/>
        <v>4</v>
      </c>
      <c r="O3" s="4">
        <f t="shared" si="2"/>
        <v>0</v>
      </c>
      <c r="P3" s="4">
        <f t="shared" si="3"/>
        <v>4</v>
      </c>
    </row>
    <row r="4" spans="1:16" x14ac:dyDescent="0.25">
      <c r="A4" t="s">
        <v>41</v>
      </c>
      <c r="B4" t="s">
        <v>35</v>
      </c>
      <c r="C4" t="s">
        <v>42</v>
      </c>
      <c r="D4" t="s">
        <v>43</v>
      </c>
      <c r="E4" t="s">
        <v>44</v>
      </c>
      <c r="F4" t="s">
        <v>45</v>
      </c>
      <c r="G4" t="s">
        <v>360</v>
      </c>
      <c r="H4" t="s">
        <v>359</v>
      </c>
      <c r="I4" s="2">
        <v>1</v>
      </c>
      <c r="J4" s="2">
        <v>1</v>
      </c>
      <c r="K4" s="2">
        <v>0</v>
      </c>
      <c r="L4" s="2">
        <v>1</v>
      </c>
      <c r="M4" s="4">
        <f t="shared" si="0"/>
        <v>4</v>
      </c>
      <c r="N4" s="4">
        <f t="shared" si="1"/>
        <v>4</v>
      </c>
      <c r="O4" s="4">
        <f t="shared" si="2"/>
        <v>0</v>
      </c>
      <c r="P4" s="4">
        <f t="shared" si="3"/>
        <v>4</v>
      </c>
    </row>
    <row r="5" spans="1:16" x14ac:dyDescent="0.25">
      <c r="A5" t="s">
        <v>209</v>
      </c>
      <c r="B5" t="s">
        <v>35</v>
      </c>
      <c r="C5" t="s">
        <v>210</v>
      </c>
      <c r="D5" t="s">
        <v>211</v>
      </c>
      <c r="E5" t="s">
        <v>212</v>
      </c>
      <c r="F5" t="s">
        <v>213</v>
      </c>
      <c r="G5" t="s">
        <v>369</v>
      </c>
      <c r="H5" t="s">
        <v>359</v>
      </c>
      <c r="I5" s="2">
        <v>1</v>
      </c>
      <c r="J5" s="2">
        <v>1</v>
      </c>
      <c r="K5" s="2">
        <v>0.35</v>
      </c>
      <c r="L5" s="2">
        <v>1</v>
      </c>
      <c r="M5" s="4">
        <f t="shared" si="0"/>
        <v>4</v>
      </c>
      <c r="N5" s="4">
        <f t="shared" si="1"/>
        <v>4</v>
      </c>
      <c r="O5" s="4">
        <f t="shared" si="2"/>
        <v>2</v>
      </c>
      <c r="P5" s="4">
        <f t="shared" si="3"/>
        <v>4</v>
      </c>
    </row>
    <row r="6" spans="1:16" x14ac:dyDescent="0.25">
      <c r="A6" t="s">
        <v>46</v>
      </c>
      <c r="B6" t="s">
        <v>35</v>
      </c>
      <c r="C6" t="s">
        <v>47</v>
      </c>
      <c r="D6" t="s">
        <v>48</v>
      </c>
      <c r="E6" t="s">
        <v>49</v>
      </c>
      <c r="F6" t="s">
        <v>50</v>
      </c>
      <c r="G6" t="s">
        <v>361</v>
      </c>
      <c r="H6" t="s">
        <v>359</v>
      </c>
      <c r="I6" s="2">
        <v>1</v>
      </c>
      <c r="J6" s="2">
        <v>1</v>
      </c>
      <c r="K6" s="2">
        <v>0</v>
      </c>
      <c r="L6" s="2">
        <v>1</v>
      </c>
      <c r="M6" s="4">
        <f t="shared" si="0"/>
        <v>4</v>
      </c>
      <c r="N6" s="4">
        <f t="shared" si="1"/>
        <v>4</v>
      </c>
      <c r="O6" s="4">
        <f t="shared" si="2"/>
        <v>0</v>
      </c>
      <c r="P6" s="4">
        <f t="shared" si="3"/>
        <v>4</v>
      </c>
    </row>
    <row r="7" spans="1:16" x14ac:dyDescent="0.25">
      <c r="A7" t="s">
        <v>51</v>
      </c>
      <c r="B7" t="s">
        <v>35</v>
      </c>
      <c r="C7" t="s">
        <v>37</v>
      </c>
      <c r="D7" t="s">
        <v>52</v>
      </c>
      <c r="E7" t="s">
        <v>53</v>
      </c>
      <c r="F7" t="s">
        <v>40</v>
      </c>
      <c r="G7" t="s">
        <v>360</v>
      </c>
      <c r="H7" t="s">
        <v>357</v>
      </c>
      <c r="I7" s="2">
        <v>1</v>
      </c>
      <c r="J7" s="2">
        <v>1</v>
      </c>
      <c r="K7" s="2">
        <v>0</v>
      </c>
      <c r="L7" s="2">
        <v>1</v>
      </c>
      <c r="M7" s="4">
        <f t="shared" si="0"/>
        <v>4</v>
      </c>
      <c r="N7" s="4">
        <f t="shared" si="1"/>
        <v>4</v>
      </c>
      <c r="O7" s="4">
        <f t="shared" si="2"/>
        <v>0</v>
      </c>
      <c r="P7" s="4">
        <f t="shared" si="3"/>
        <v>4</v>
      </c>
    </row>
    <row r="8" spans="1:16" x14ac:dyDescent="0.25">
      <c r="A8" t="s">
        <v>129</v>
      </c>
      <c r="B8" t="s">
        <v>35</v>
      </c>
      <c r="C8" t="s">
        <v>130</v>
      </c>
      <c r="D8" t="s">
        <v>131</v>
      </c>
      <c r="E8" t="s">
        <v>132</v>
      </c>
      <c r="F8" t="s">
        <v>133</v>
      </c>
      <c r="G8" t="s">
        <v>364</v>
      </c>
      <c r="H8" t="s">
        <v>359</v>
      </c>
      <c r="I8" s="2">
        <v>1</v>
      </c>
      <c r="J8" s="2">
        <v>1</v>
      </c>
      <c r="K8" s="2">
        <v>0.1</v>
      </c>
      <c r="L8" s="2">
        <v>1</v>
      </c>
      <c r="M8" s="4">
        <f t="shared" si="0"/>
        <v>4</v>
      </c>
      <c r="N8" s="4">
        <f t="shared" si="1"/>
        <v>4</v>
      </c>
      <c r="O8" s="4">
        <f t="shared" si="2"/>
        <v>1</v>
      </c>
      <c r="P8" s="4">
        <f t="shared" si="3"/>
        <v>4</v>
      </c>
    </row>
    <row r="9" spans="1:16" x14ac:dyDescent="0.25">
      <c r="A9" t="s">
        <v>54</v>
      </c>
      <c r="B9" t="s">
        <v>35</v>
      </c>
      <c r="C9" t="s">
        <v>42</v>
      </c>
      <c r="D9" t="s">
        <v>55</v>
      </c>
      <c r="E9" t="s">
        <v>56</v>
      </c>
      <c r="F9" t="s">
        <v>45</v>
      </c>
      <c r="G9" t="s">
        <v>360</v>
      </c>
      <c r="H9" t="s">
        <v>362</v>
      </c>
      <c r="I9" s="2">
        <v>1</v>
      </c>
      <c r="J9" s="2">
        <v>1</v>
      </c>
      <c r="K9" s="2">
        <v>0.1</v>
      </c>
      <c r="L9" s="2">
        <v>1</v>
      </c>
      <c r="M9" s="4">
        <f t="shared" si="0"/>
        <v>4</v>
      </c>
      <c r="N9" s="4">
        <f t="shared" si="1"/>
        <v>4</v>
      </c>
      <c r="O9" s="4">
        <f t="shared" si="2"/>
        <v>1</v>
      </c>
      <c r="P9" s="4">
        <f t="shared" si="3"/>
        <v>4</v>
      </c>
    </row>
    <row r="10" spans="1:16" x14ac:dyDescent="0.25">
      <c r="A10" t="s">
        <v>57</v>
      </c>
      <c r="B10" t="s">
        <v>35</v>
      </c>
      <c r="C10" t="s">
        <v>42</v>
      </c>
      <c r="D10" t="s">
        <v>58</v>
      </c>
      <c r="E10" t="s">
        <v>59</v>
      </c>
      <c r="F10" t="s">
        <v>45</v>
      </c>
      <c r="G10" t="s">
        <v>360</v>
      </c>
      <c r="H10" t="s">
        <v>359</v>
      </c>
      <c r="I10" s="2">
        <v>1</v>
      </c>
      <c r="J10" s="2">
        <v>1</v>
      </c>
      <c r="K10" s="2">
        <v>0.1</v>
      </c>
      <c r="L10" s="2">
        <v>1</v>
      </c>
      <c r="M10" s="4">
        <f t="shared" si="0"/>
        <v>4</v>
      </c>
      <c r="N10" s="4">
        <f t="shared" si="1"/>
        <v>4</v>
      </c>
      <c r="O10" s="4">
        <f t="shared" si="2"/>
        <v>1</v>
      </c>
      <c r="P10" s="4">
        <f t="shared" si="3"/>
        <v>4</v>
      </c>
    </row>
    <row r="11" spans="1:16" x14ac:dyDescent="0.25">
      <c r="A11" t="s">
        <v>60</v>
      </c>
      <c r="B11" t="s">
        <v>35</v>
      </c>
      <c r="C11" t="s">
        <v>42</v>
      </c>
      <c r="D11" t="s">
        <v>61</v>
      </c>
      <c r="E11" t="s">
        <v>62</v>
      </c>
      <c r="F11" t="s">
        <v>45</v>
      </c>
      <c r="G11" t="s">
        <v>360</v>
      </c>
      <c r="H11" t="s">
        <v>359</v>
      </c>
      <c r="I11" s="2">
        <v>1</v>
      </c>
      <c r="J11" s="2">
        <v>1</v>
      </c>
      <c r="K11" s="2">
        <v>0.1</v>
      </c>
      <c r="L11" s="2">
        <v>1</v>
      </c>
      <c r="M11" s="4">
        <f t="shared" si="0"/>
        <v>4</v>
      </c>
      <c r="N11" s="4">
        <f t="shared" si="1"/>
        <v>4</v>
      </c>
      <c r="O11" s="4">
        <f t="shared" si="2"/>
        <v>1</v>
      </c>
      <c r="P11" s="4">
        <f t="shared" si="3"/>
        <v>4</v>
      </c>
    </row>
    <row r="12" spans="1:16" x14ac:dyDescent="0.25">
      <c r="A12" t="s">
        <v>63</v>
      </c>
      <c r="B12" t="s">
        <v>35</v>
      </c>
      <c r="C12" t="s">
        <v>64</v>
      </c>
      <c r="D12" t="s">
        <v>65</v>
      </c>
      <c r="E12" t="s">
        <v>66</v>
      </c>
      <c r="F12" t="s">
        <v>67</v>
      </c>
      <c r="G12" t="s">
        <v>363</v>
      </c>
      <c r="H12" t="s">
        <v>362</v>
      </c>
      <c r="I12" s="2">
        <v>1</v>
      </c>
      <c r="J12" s="2">
        <v>1</v>
      </c>
      <c r="K12" s="2">
        <v>0</v>
      </c>
      <c r="L12" s="2">
        <v>1</v>
      </c>
      <c r="M12" s="4">
        <f t="shared" si="0"/>
        <v>4</v>
      </c>
      <c r="N12" s="4">
        <f t="shared" si="1"/>
        <v>4</v>
      </c>
      <c r="O12" s="4">
        <f t="shared" si="2"/>
        <v>0</v>
      </c>
      <c r="P12" s="4">
        <f t="shared" si="3"/>
        <v>4</v>
      </c>
    </row>
    <row r="13" spans="1:16" x14ac:dyDescent="0.25">
      <c r="A13" t="s">
        <v>68</v>
      </c>
      <c r="B13" t="s">
        <v>35</v>
      </c>
      <c r="C13" t="s">
        <v>69</v>
      </c>
      <c r="D13" t="s">
        <v>70</v>
      </c>
      <c r="E13" t="s">
        <v>71</v>
      </c>
      <c r="F13" t="s">
        <v>72</v>
      </c>
      <c r="G13" t="s">
        <v>364</v>
      </c>
      <c r="H13" t="s">
        <v>365</v>
      </c>
      <c r="I13" s="2">
        <v>1</v>
      </c>
      <c r="J13" s="2">
        <v>1</v>
      </c>
      <c r="K13" s="2">
        <v>0</v>
      </c>
      <c r="L13" s="2">
        <v>1</v>
      </c>
      <c r="M13" s="4">
        <f t="shared" si="0"/>
        <v>4</v>
      </c>
      <c r="N13" s="4">
        <f t="shared" si="1"/>
        <v>4</v>
      </c>
      <c r="O13" s="4">
        <f t="shared" si="2"/>
        <v>0</v>
      </c>
      <c r="P13" s="4">
        <f t="shared" si="3"/>
        <v>4</v>
      </c>
    </row>
    <row r="14" spans="1:16" x14ac:dyDescent="0.25">
      <c r="A14" t="s">
        <v>242</v>
      </c>
      <c r="B14" t="s">
        <v>35</v>
      </c>
      <c r="C14" t="s">
        <v>85</v>
      </c>
      <c r="D14" t="s">
        <v>10</v>
      </c>
      <c r="E14" t="s">
        <v>243</v>
      </c>
      <c r="F14" t="s">
        <v>87</v>
      </c>
      <c r="G14" t="s">
        <v>370</v>
      </c>
      <c r="H14" t="s">
        <v>367</v>
      </c>
      <c r="I14" s="2">
        <v>1</v>
      </c>
      <c r="J14" s="2">
        <v>1</v>
      </c>
      <c r="K14" s="2">
        <v>0</v>
      </c>
      <c r="L14" s="2">
        <v>1</v>
      </c>
      <c r="M14" s="4">
        <f t="shared" si="0"/>
        <v>4</v>
      </c>
      <c r="N14" s="4">
        <f t="shared" si="1"/>
        <v>4</v>
      </c>
      <c r="O14" s="4">
        <f t="shared" si="2"/>
        <v>0</v>
      </c>
      <c r="P14" s="4">
        <f t="shared" si="3"/>
        <v>4</v>
      </c>
    </row>
    <row r="15" spans="1:16" x14ac:dyDescent="0.25">
      <c r="A15" t="s">
        <v>73</v>
      </c>
      <c r="B15" t="s">
        <v>35</v>
      </c>
      <c r="C15" t="s">
        <v>74</v>
      </c>
      <c r="D15" t="s">
        <v>75</v>
      </c>
      <c r="E15" t="s">
        <v>76</v>
      </c>
      <c r="F15" t="s">
        <v>77</v>
      </c>
      <c r="G15" t="s">
        <v>360</v>
      </c>
      <c r="H15" t="s">
        <v>357</v>
      </c>
      <c r="I15" s="2">
        <v>1</v>
      </c>
      <c r="J15" s="2">
        <v>1</v>
      </c>
      <c r="K15" s="2">
        <v>0</v>
      </c>
      <c r="L15" s="2">
        <v>1</v>
      </c>
      <c r="M15" s="4">
        <f t="shared" si="0"/>
        <v>4</v>
      </c>
      <c r="N15" s="4">
        <f t="shared" si="1"/>
        <v>4</v>
      </c>
      <c r="O15" s="4">
        <f t="shared" si="2"/>
        <v>0</v>
      </c>
      <c r="P15" s="4">
        <f t="shared" si="3"/>
        <v>4</v>
      </c>
    </row>
    <row r="16" spans="1:16" x14ac:dyDescent="0.25">
      <c r="A16" t="s">
        <v>78</v>
      </c>
      <c r="B16" t="s">
        <v>35</v>
      </c>
      <c r="C16" t="s">
        <v>37</v>
      </c>
      <c r="D16" t="s">
        <v>79</v>
      </c>
      <c r="E16" t="s">
        <v>80</v>
      </c>
      <c r="F16" t="s">
        <v>81</v>
      </c>
      <c r="G16" t="s">
        <v>366</v>
      </c>
      <c r="H16" t="s">
        <v>358</v>
      </c>
      <c r="I16" s="2">
        <v>1</v>
      </c>
      <c r="J16" s="2">
        <v>1</v>
      </c>
      <c r="K16" s="2">
        <v>0</v>
      </c>
      <c r="L16" s="2">
        <v>1</v>
      </c>
      <c r="M16" s="4">
        <f t="shared" si="0"/>
        <v>4</v>
      </c>
      <c r="N16" s="4">
        <f t="shared" si="1"/>
        <v>4</v>
      </c>
      <c r="O16" s="4">
        <f t="shared" si="2"/>
        <v>0</v>
      </c>
      <c r="P16" s="4">
        <f t="shared" si="3"/>
        <v>4</v>
      </c>
    </row>
    <row r="17" spans="1:16" x14ac:dyDescent="0.25">
      <c r="A17" t="s">
        <v>150</v>
      </c>
      <c r="B17" t="s">
        <v>35</v>
      </c>
      <c r="C17" t="s">
        <v>37</v>
      </c>
      <c r="D17" t="s">
        <v>151</v>
      </c>
      <c r="E17" t="s">
        <v>152</v>
      </c>
      <c r="F17" t="s">
        <v>40</v>
      </c>
      <c r="G17" t="s">
        <v>370</v>
      </c>
      <c r="H17" t="s">
        <v>358</v>
      </c>
      <c r="I17" s="2">
        <v>1</v>
      </c>
      <c r="J17" s="2">
        <v>1</v>
      </c>
      <c r="K17" s="2">
        <v>0</v>
      </c>
      <c r="L17" s="2">
        <v>1</v>
      </c>
      <c r="M17" s="4">
        <f t="shared" si="0"/>
        <v>4</v>
      </c>
      <c r="N17" s="4">
        <f t="shared" si="1"/>
        <v>4</v>
      </c>
      <c r="O17" s="4">
        <f t="shared" si="2"/>
        <v>0</v>
      </c>
      <c r="P17" s="4">
        <f t="shared" si="3"/>
        <v>4</v>
      </c>
    </row>
    <row r="18" spans="1:16" x14ac:dyDescent="0.25">
      <c r="A18" t="s">
        <v>82</v>
      </c>
      <c r="B18" t="s">
        <v>35</v>
      </c>
      <c r="C18" t="s">
        <v>37</v>
      </c>
      <c r="D18" t="s">
        <v>55</v>
      </c>
      <c r="E18" t="s">
        <v>83</v>
      </c>
      <c r="F18" t="s">
        <v>40</v>
      </c>
      <c r="G18" t="s">
        <v>366</v>
      </c>
      <c r="H18" t="s">
        <v>357</v>
      </c>
      <c r="I18" s="2">
        <v>1</v>
      </c>
      <c r="J18" s="2">
        <v>1</v>
      </c>
      <c r="K18" s="2">
        <v>0</v>
      </c>
      <c r="L18" s="2">
        <v>1</v>
      </c>
      <c r="M18" s="4">
        <f t="shared" si="0"/>
        <v>4</v>
      </c>
      <c r="N18" s="4">
        <f t="shared" si="1"/>
        <v>4</v>
      </c>
      <c r="O18" s="4">
        <f t="shared" si="2"/>
        <v>0</v>
      </c>
      <c r="P18" s="4">
        <f t="shared" si="3"/>
        <v>4</v>
      </c>
    </row>
    <row r="19" spans="1:16" x14ac:dyDescent="0.25">
      <c r="A19" t="s">
        <v>88</v>
      </c>
      <c r="B19" t="s">
        <v>35</v>
      </c>
      <c r="C19" t="s">
        <v>64</v>
      </c>
      <c r="D19" t="s">
        <v>27</v>
      </c>
      <c r="E19" t="s">
        <v>89</v>
      </c>
      <c r="F19" t="s">
        <v>67</v>
      </c>
      <c r="G19" t="s">
        <v>360</v>
      </c>
      <c r="H19" t="s">
        <v>362</v>
      </c>
      <c r="I19" s="2">
        <v>1</v>
      </c>
      <c r="J19" s="2">
        <v>1</v>
      </c>
      <c r="K19" s="2">
        <v>0</v>
      </c>
      <c r="L19" s="2">
        <v>1</v>
      </c>
      <c r="M19" s="4">
        <f t="shared" si="0"/>
        <v>4</v>
      </c>
      <c r="N19" s="4">
        <f t="shared" si="1"/>
        <v>4</v>
      </c>
      <c r="O19" s="4">
        <f t="shared" si="2"/>
        <v>0</v>
      </c>
      <c r="P19" s="4">
        <f t="shared" si="3"/>
        <v>4</v>
      </c>
    </row>
    <row r="20" spans="1:16" x14ac:dyDescent="0.25">
      <c r="A20" t="s">
        <v>317</v>
      </c>
      <c r="B20" t="s">
        <v>35</v>
      </c>
      <c r="C20" t="s">
        <v>37</v>
      </c>
      <c r="D20" t="s">
        <v>300</v>
      </c>
      <c r="E20" t="s">
        <v>318</v>
      </c>
      <c r="F20" t="s">
        <v>81</v>
      </c>
      <c r="G20" t="s">
        <v>369</v>
      </c>
      <c r="H20" t="s">
        <v>362</v>
      </c>
      <c r="I20" s="2">
        <v>1</v>
      </c>
      <c r="J20" s="2">
        <v>1</v>
      </c>
      <c r="K20" s="2">
        <v>0</v>
      </c>
      <c r="L20" s="2">
        <v>1</v>
      </c>
      <c r="M20" s="4">
        <f t="shared" si="0"/>
        <v>4</v>
      </c>
      <c r="N20" s="4">
        <f t="shared" si="1"/>
        <v>4</v>
      </c>
      <c r="O20" s="4">
        <f t="shared" si="2"/>
        <v>0</v>
      </c>
      <c r="P20" s="4">
        <f t="shared" si="3"/>
        <v>4</v>
      </c>
    </row>
    <row r="21" spans="1:16" x14ac:dyDescent="0.25">
      <c r="A21" t="s">
        <v>116</v>
      </c>
      <c r="B21" t="s">
        <v>35</v>
      </c>
      <c r="C21" t="s">
        <v>117</v>
      </c>
      <c r="D21" t="s">
        <v>118</v>
      </c>
      <c r="E21" t="s">
        <v>119</v>
      </c>
      <c r="F21" t="s">
        <v>120</v>
      </c>
      <c r="G21" t="s">
        <v>364</v>
      </c>
      <c r="H21" t="s">
        <v>362</v>
      </c>
      <c r="I21" s="2">
        <v>1</v>
      </c>
      <c r="J21" s="2">
        <v>1</v>
      </c>
      <c r="K21" s="2">
        <v>0</v>
      </c>
      <c r="L21" s="2">
        <v>1</v>
      </c>
      <c r="M21" s="4">
        <f t="shared" si="0"/>
        <v>4</v>
      </c>
      <c r="N21" s="4">
        <f t="shared" si="1"/>
        <v>4</v>
      </c>
      <c r="O21" s="4">
        <f t="shared" si="2"/>
        <v>0</v>
      </c>
      <c r="P21" s="4">
        <f t="shared" si="3"/>
        <v>4</v>
      </c>
    </row>
    <row r="22" spans="1:16" x14ac:dyDescent="0.25">
      <c r="A22" t="s">
        <v>90</v>
      </c>
      <c r="B22" t="s">
        <v>35</v>
      </c>
      <c r="C22" t="s">
        <v>91</v>
      </c>
      <c r="D22" t="s">
        <v>92</v>
      </c>
      <c r="E22" t="s">
        <v>93</v>
      </c>
      <c r="F22" t="s">
        <v>94</v>
      </c>
      <c r="G22" t="s">
        <v>364</v>
      </c>
      <c r="H22" t="s">
        <v>367</v>
      </c>
      <c r="I22" s="2">
        <v>1</v>
      </c>
      <c r="J22" s="2">
        <v>1</v>
      </c>
      <c r="K22" s="2">
        <v>0</v>
      </c>
      <c r="L22" s="2">
        <v>1</v>
      </c>
      <c r="M22" s="4">
        <f t="shared" si="0"/>
        <v>4</v>
      </c>
      <c r="N22" s="4">
        <f t="shared" si="1"/>
        <v>4</v>
      </c>
      <c r="O22" s="4">
        <f t="shared" si="2"/>
        <v>0</v>
      </c>
      <c r="P22" s="4">
        <f t="shared" si="3"/>
        <v>4</v>
      </c>
    </row>
    <row r="23" spans="1:16" x14ac:dyDescent="0.25">
      <c r="A23" t="s">
        <v>95</v>
      </c>
      <c r="B23" t="s">
        <v>35</v>
      </c>
      <c r="C23" t="s">
        <v>37</v>
      </c>
      <c r="D23" t="s">
        <v>96</v>
      </c>
      <c r="E23" t="s">
        <v>97</v>
      </c>
      <c r="F23" t="s">
        <v>40</v>
      </c>
      <c r="G23" t="s">
        <v>368</v>
      </c>
      <c r="H23" t="s">
        <v>357</v>
      </c>
      <c r="I23" s="2">
        <v>1</v>
      </c>
      <c r="J23" s="2">
        <v>1</v>
      </c>
      <c r="K23" s="2">
        <v>0</v>
      </c>
      <c r="L23" s="2">
        <v>1</v>
      </c>
      <c r="M23" s="4">
        <f t="shared" si="0"/>
        <v>4</v>
      </c>
      <c r="N23" s="4">
        <f t="shared" si="1"/>
        <v>4</v>
      </c>
      <c r="O23" s="4">
        <f t="shared" si="2"/>
        <v>0</v>
      </c>
      <c r="P23" s="4">
        <f t="shared" si="3"/>
        <v>4</v>
      </c>
    </row>
    <row r="24" spans="1:16" x14ac:dyDescent="0.25">
      <c r="A24" t="s">
        <v>161</v>
      </c>
      <c r="B24" t="s">
        <v>35</v>
      </c>
      <c r="C24" t="s">
        <v>110</v>
      </c>
      <c r="D24" t="s">
        <v>19</v>
      </c>
      <c r="E24" t="s">
        <v>162</v>
      </c>
      <c r="F24" t="s">
        <v>112</v>
      </c>
      <c r="G24" t="s">
        <v>369</v>
      </c>
      <c r="H24" t="s">
        <v>359</v>
      </c>
      <c r="I24" s="2">
        <v>1</v>
      </c>
      <c r="J24" s="2">
        <v>1</v>
      </c>
      <c r="K24" s="2">
        <v>0</v>
      </c>
      <c r="L24" s="2">
        <v>1</v>
      </c>
      <c r="M24" s="4">
        <f t="shared" si="0"/>
        <v>4</v>
      </c>
      <c r="N24" s="4">
        <f t="shared" si="1"/>
        <v>4</v>
      </c>
      <c r="O24" s="4">
        <f t="shared" si="2"/>
        <v>0</v>
      </c>
      <c r="P24" s="4">
        <f t="shared" si="3"/>
        <v>4</v>
      </c>
    </row>
    <row r="25" spans="1:16" x14ac:dyDescent="0.25">
      <c r="A25" t="s">
        <v>98</v>
      </c>
      <c r="B25" t="s">
        <v>35</v>
      </c>
      <c r="C25" t="s">
        <v>99</v>
      </c>
      <c r="D25" t="s">
        <v>25</v>
      </c>
      <c r="E25" t="s">
        <v>100</v>
      </c>
      <c r="F25" t="s">
        <v>101</v>
      </c>
      <c r="G25" t="s">
        <v>369</v>
      </c>
      <c r="H25" t="s">
        <v>359</v>
      </c>
      <c r="I25" s="2">
        <v>1</v>
      </c>
      <c r="J25" s="2">
        <v>1</v>
      </c>
      <c r="K25" s="2">
        <v>0</v>
      </c>
      <c r="L25" s="2">
        <v>1</v>
      </c>
      <c r="M25" s="4">
        <f t="shared" si="0"/>
        <v>4</v>
      </c>
      <c r="N25" s="4">
        <f t="shared" si="1"/>
        <v>4</v>
      </c>
      <c r="O25" s="4">
        <f t="shared" si="2"/>
        <v>0</v>
      </c>
      <c r="P25" s="4">
        <f t="shared" si="3"/>
        <v>4</v>
      </c>
    </row>
    <row r="26" spans="1:16" x14ac:dyDescent="0.25">
      <c r="A26" t="s">
        <v>283</v>
      </c>
      <c r="B26" t="s">
        <v>35</v>
      </c>
      <c r="C26" t="s">
        <v>42</v>
      </c>
      <c r="D26" t="s">
        <v>281</v>
      </c>
      <c r="E26" t="s">
        <v>284</v>
      </c>
      <c r="F26" t="s">
        <v>45</v>
      </c>
      <c r="G26" t="s">
        <v>361</v>
      </c>
      <c r="H26" t="s">
        <v>362</v>
      </c>
      <c r="I26" s="2">
        <v>1</v>
      </c>
      <c r="J26" s="2">
        <v>1</v>
      </c>
      <c r="K26" s="2">
        <v>0</v>
      </c>
      <c r="L26" s="2">
        <v>1</v>
      </c>
      <c r="M26" s="4">
        <f t="shared" si="0"/>
        <v>4</v>
      </c>
      <c r="N26" s="4">
        <f t="shared" si="1"/>
        <v>4</v>
      </c>
      <c r="O26" s="4">
        <f t="shared" si="2"/>
        <v>0</v>
      </c>
      <c r="P26" s="4">
        <f t="shared" si="3"/>
        <v>4</v>
      </c>
    </row>
    <row r="27" spans="1:16" x14ac:dyDescent="0.25">
      <c r="A27" t="s">
        <v>188</v>
      </c>
      <c r="B27" t="s">
        <v>35</v>
      </c>
      <c r="C27" t="s">
        <v>171</v>
      </c>
      <c r="D27" t="s">
        <v>23</v>
      </c>
      <c r="E27" t="s">
        <v>189</v>
      </c>
      <c r="F27" t="s">
        <v>173</v>
      </c>
      <c r="G27" t="s">
        <v>363</v>
      </c>
      <c r="H27" t="s">
        <v>362</v>
      </c>
      <c r="I27" s="2">
        <v>1</v>
      </c>
      <c r="J27" s="2">
        <v>1</v>
      </c>
      <c r="K27" s="2">
        <v>0</v>
      </c>
      <c r="L27" s="2">
        <v>1</v>
      </c>
      <c r="M27" s="4">
        <f t="shared" si="0"/>
        <v>4</v>
      </c>
      <c r="N27" s="4">
        <f t="shared" si="1"/>
        <v>4</v>
      </c>
      <c r="O27" s="4">
        <f t="shared" si="2"/>
        <v>0</v>
      </c>
      <c r="P27" s="4">
        <f t="shared" si="3"/>
        <v>4</v>
      </c>
    </row>
    <row r="28" spans="1:16" x14ac:dyDescent="0.25">
      <c r="A28" t="s">
        <v>249</v>
      </c>
      <c r="B28" t="s">
        <v>35</v>
      </c>
      <c r="C28" t="s">
        <v>110</v>
      </c>
      <c r="D28" t="s">
        <v>21</v>
      </c>
      <c r="E28" t="s">
        <v>250</v>
      </c>
      <c r="F28" t="s">
        <v>112</v>
      </c>
      <c r="G28" t="s">
        <v>370</v>
      </c>
      <c r="H28" t="s">
        <v>373</v>
      </c>
      <c r="I28" s="2">
        <v>1</v>
      </c>
      <c r="J28" s="2">
        <v>0.7</v>
      </c>
      <c r="K28" s="2">
        <v>1</v>
      </c>
      <c r="L28" s="2">
        <v>1</v>
      </c>
      <c r="M28" s="4">
        <f t="shared" si="0"/>
        <v>4</v>
      </c>
      <c r="N28" s="4">
        <f t="shared" si="1"/>
        <v>3</v>
      </c>
      <c r="O28" s="4">
        <f t="shared" si="2"/>
        <v>4</v>
      </c>
      <c r="P28" s="4">
        <f t="shared" si="3"/>
        <v>4</v>
      </c>
    </row>
    <row r="29" spans="1:16" x14ac:dyDescent="0.25">
      <c r="A29" t="s">
        <v>309</v>
      </c>
      <c r="B29" t="s">
        <v>184</v>
      </c>
      <c r="C29" t="s">
        <v>310</v>
      </c>
      <c r="D29" t="s">
        <v>311</v>
      </c>
      <c r="E29" t="s">
        <v>312</v>
      </c>
      <c r="F29" t="s">
        <v>313</v>
      </c>
      <c r="G29" t="s">
        <v>370</v>
      </c>
      <c r="H29" t="s">
        <v>359</v>
      </c>
      <c r="I29" s="2">
        <v>1</v>
      </c>
      <c r="J29" s="2">
        <v>0.7</v>
      </c>
      <c r="K29" s="2">
        <v>0</v>
      </c>
      <c r="L29" s="2">
        <v>1</v>
      </c>
      <c r="M29" s="4">
        <f t="shared" si="0"/>
        <v>4</v>
      </c>
      <c r="N29" s="4">
        <f t="shared" si="1"/>
        <v>3</v>
      </c>
      <c r="O29" s="4">
        <f t="shared" si="2"/>
        <v>0</v>
      </c>
      <c r="P29" s="4">
        <f t="shared" si="3"/>
        <v>4</v>
      </c>
    </row>
    <row r="30" spans="1:16" x14ac:dyDescent="0.25">
      <c r="A30" t="s">
        <v>167</v>
      </c>
      <c r="B30" t="s">
        <v>35</v>
      </c>
      <c r="C30" t="s">
        <v>37</v>
      </c>
      <c r="D30" t="s">
        <v>168</v>
      </c>
      <c r="E30" t="s">
        <v>169</v>
      </c>
      <c r="F30" t="s">
        <v>40</v>
      </c>
      <c r="G30" t="s">
        <v>363</v>
      </c>
      <c r="H30" t="s">
        <v>357</v>
      </c>
      <c r="I30" s="2">
        <v>1</v>
      </c>
      <c r="J30" s="2">
        <v>1</v>
      </c>
      <c r="K30" s="2">
        <v>0</v>
      </c>
      <c r="L30" s="2">
        <v>0.7</v>
      </c>
      <c r="M30" s="4">
        <f t="shared" si="0"/>
        <v>4</v>
      </c>
      <c r="N30" s="4">
        <f t="shared" si="1"/>
        <v>4</v>
      </c>
      <c r="O30" s="4">
        <f t="shared" si="2"/>
        <v>0</v>
      </c>
      <c r="P30" s="4">
        <f t="shared" ref="P30:P49" si="4">IF(L30=1,4,IF(L30=0.7,3,IF(L30=0.35,2,IF(L30=0.1,1,0))))</f>
        <v>3</v>
      </c>
    </row>
    <row r="31" spans="1:16" x14ac:dyDescent="0.25">
      <c r="A31" t="s">
        <v>319</v>
      </c>
      <c r="B31" t="s">
        <v>35</v>
      </c>
      <c r="C31" t="s">
        <v>245</v>
      </c>
      <c r="D31" t="s">
        <v>320</v>
      </c>
      <c r="E31" t="s">
        <v>321</v>
      </c>
      <c r="F31" t="s">
        <v>248</v>
      </c>
      <c r="G31" t="s">
        <v>374</v>
      </c>
      <c r="H31" t="s">
        <v>362</v>
      </c>
      <c r="I31" s="2">
        <v>1</v>
      </c>
      <c r="J31" s="2">
        <v>0.7</v>
      </c>
      <c r="K31" s="2">
        <v>0</v>
      </c>
      <c r="L31" s="2">
        <v>1</v>
      </c>
      <c r="M31" s="4">
        <f t="shared" si="0"/>
        <v>4</v>
      </c>
      <c r="N31" s="4">
        <f t="shared" si="1"/>
        <v>3</v>
      </c>
      <c r="O31" s="4">
        <f t="shared" si="2"/>
        <v>0</v>
      </c>
      <c r="P31" s="4">
        <f t="shared" si="4"/>
        <v>4</v>
      </c>
    </row>
    <row r="32" spans="1:16" x14ac:dyDescent="0.25">
      <c r="A32" t="s">
        <v>121</v>
      </c>
      <c r="B32" t="s">
        <v>35</v>
      </c>
      <c r="C32" t="s">
        <v>122</v>
      </c>
      <c r="D32" t="s">
        <v>26</v>
      </c>
      <c r="E32" t="s">
        <v>123</v>
      </c>
      <c r="F32" t="s">
        <v>124</v>
      </c>
      <c r="G32" t="s">
        <v>370</v>
      </c>
      <c r="H32" t="s">
        <v>371</v>
      </c>
      <c r="I32" s="2">
        <v>1</v>
      </c>
      <c r="J32" s="2">
        <v>1</v>
      </c>
      <c r="K32" s="2">
        <v>0</v>
      </c>
      <c r="L32" s="2">
        <v>0.7</v>
      </c>
      <c r="M32" s="4">
        <f t="shared" si="0"/>
        <v>4</v>
      </c>
      <c r="N32" s="4">
        <f t="shared" si="1"/>
        <v>4</v>
      </c>
      <c r="O32" s="4">
        <f t="shared" si="2"/>
        <v>0</v>
      </c>
      <c r="P32" s="4">
        <f t="shared" si="4"/>
        <v>3</v>
      </c>
    </row>
    <row r="33" spans="1:16" x14ac:dyDescent="0.25">
      <c r="A33" t="s">
        <v>196</v>
      </c>
      <c r="B33" t="s">
        <v>35</v>
      </c>
      <c r="C33" t="s">
        <v>37</v>
      </c>
      <c r="D33" t="s">
        <v>197</v>
      </c>
      <c r="E33" t="s">
        <v>198</v>
      </c>
      <c r="F33" t="s">
        <v>81</v>
      </c>
      <c r="G33" t="s">
        <v>360</v>
      </c>
      <c r="H33" t="s">
        <v>362</v>
      </c>
      <c r="I33" s="2">
        <v>1</v>
      </c>
      <c r="J33" s="2">
        <v>1</v>
      </c>
      <c r="K33" s="2">
        <v>0</v>
      </c>
      <c r="L33" s="2">
        <v>0.7</v>
      </c>
      <c r="M33" s="4">
        <f t="shared" si="0"/>
        <v>4</v>
      </c>
      <c r="N33" s="4">
        <f t="shared" si="1"/>
        <v>4</v>
      </c>
      <c r="O33" s="4">
        <f t="shared" si="2"/>
        <v>0</v>
      </c>
      <c r="P33" s="4">
        <f t="shared" si="4"/>
        <v>3</v>
      </c>
    </row>
    <row r="34" spans="1:16" x14ac:dyDescent="0.25">
      <c r="A34" t="s">
        <v>102</v>
      </c>
      <c r="B34" t="s">
        <v>35</v>
      </c>
      <c r="C34" t="s">
        <v>103</v>
      </c>
      <c r="D34" t="s">
        <v>104</v>
      </c>
      <c r="E34" t="s">
        <v>105</v>
      </c>
      <c r="F34" t="s">
        <v>106</v>
      </c>
      <c r="G34" t="s">
        <v>360</v>
      </c>
      <c r="H34" t="s">
        <v>357</v>
      </c>
      <c r="I34" s="2">
        <v>1</v>
      </c>
      <c r="J34" s="2">
        <v>0.7</v>
      </c>
      <c r="K34" s="2">
        <v>0</v>
      </c>
      <c r="L34" s="2">
        <v>1</v>
      </c>
      <c r="M34" s="4">
        <f t="shared" ref="M34:M65" si="5">IF(I34=1,4,IF(I34=0.7,3,IF(I34=0.35,2,IF(I34=0.1,1,0))))</f>
        <v>4</v>
      </c>
      <c r="N34" s="4">
        <f t="shared" ref="N34:N65" si="6">IF(J34=1,4,IF(J34=0.7,3,IF(J34=0.35,2,IF(J34=0.1,1,0))))</f>
        <v>3</v>
      </c>
      <c r="O34" s="4">
        <f t="shared" ref="O34:O65" si="7">IF(K34=1,4,IF(K34=0.7,3,IF(K34=0.35,2,IF(K34=0.1,1,0))))</f>
        <v>0</v>
      </c>
      <c r="P34" s="4">
        <f t="shared" si="4"/>
        <v>4</v>
      </c>
    </row>
    <row r="35" spans="1:16" x14ac:dyDescent="0.25">
      <c r="A35" t="s">
        <v>199</v>
      </c>
      <c r="B35" t="s">
        <v>35</v>
      </c>
      <c r="C35" t="s">
        <v>139</v>
      </c>
      <c r="D35" t="s">
        <v>200</v>
      </c>
      <c r="E35" t="s">
        <v>201</v>
      </c>
      <c r="F35" t="s">
        <v>142</v>
      </c>
      <c r="G35" t="s">
        <v>369</v>
      </c>
      <c r="H35" t="s">
        <v>359</v>
      </c>
      <c r="I35" s="2">
        <v>1</v>
      </c>
      <c r="J35" s="2">
        <v>1</v>
      </c>
      <c r="K35" s="2">
        <v>0.35</v>
      </c>
      <c r="L35" s="2">
        <v>0.7</v>
      </c>
      <c r="M35" s="4">
        <f t="shared" si="5"/>
        <v>4</v>
      </c>
      <c r="N35" s="4">
        <f t="shared" si="6"/>
        <v>4</v>
      </c>
      <c r="O35" s="4">
        <f t="shared" si="7"/>
        <v>2</v>
      </c>
      <c r="P35" s="4">
        <f t="shared" si="4"/>
        <v>3</v>
      </c>
    </row>
    <row r="36" spans="1:16" x14ac:dyDescent="0.25">
      <c r="A36" t="s">
        <v>202</v>
      </c>
      <c r="B36" t="s">
        <v>35</v>
      </c>
      <c r="C36" t="s">
        <v>37</v>
      </c>
      <c r="D36" t="s">
        <v>203</v>
      </c>
      <c r="E36" t="s">
        <v>204</v>
      </c>
      <c r="F36" t="s">
        <v>81</v>
      </c>
      <c r="G36" t="s">
        <v>360</v>
      </c>
      <c r="H36" t="s">
        <v>357</v>
      </c>
      <c r="I36" s="2">
        <v>1</v>
      </c>
      <c r="J36" s="2">
        <v>1</v>
      </c>
      <c r="K36" s="2">
        <v>0</v>
      </c>
      <c r="L36" s="2">
        <v>0.7</v>
      </c>
      <c r="M36" s="4">
        <f t="shared" si="5"/>
        <v>4</v>
      </c>
      <c r="N36" s="4">
        <f t="shared" si="6"/>
        <v>4</v>
      </c>
      <c r="O36" s="4">
        <f t="shared" si="7"/>
        <v>0</v>
      </c>
      <c r="P36" s="4">
        <f t="shared" si="4"/>
        <v>3</v>
      </c>
    </row>
    <row r="37" spans="1:16" x14ac:dyDescent="0.25">
      <c r="A37" t="s">
        <v>138</v>
      </c>
      <c r="B37" t="s">
        <v>35</v>
      </c>
      <c r="C37" t="s">
        <v>139</v>
      </c>
      <c r="D37" t="s">
        <v>140</v>
      </c>
      <c r="E37" t="s">
        <v>141</v>
      </c>
      <c r="F37" t="s">
        <v>142</v>
      </c>
      <c r="G37" t="s">
        <v>366</v>
      </c>
      <c r="H37" t="s">
        <v>359</v>
      </c>
      <c r="I37" s="2">
        <v>1</v>
      </c>
      <c r="J37" s="2">
        <v>1</v>
      </c>
      <c r="K37" s="2">
        <v>0</v>
      </c>
      <c r="L37" s="2">
        <v>0.7</v>
      </c>
      <c r="M37" s="4">
        <f t="shared" si="5"/>
        <v>4</v>
      </c>
      <c r="N37" s="4">
        <f t="shared" si="6"/>
        <v>4</v>
      </c>
      <c r="O37" s="4">
        <f t="shared" si="7"/>
        <v>0</v>
      </c>
      <c r="P37" s="4">
        <f t="shared" si="4"/>
        <v>3</v>
      </c>
    </row>
    <row r="38" spans="1:16" x14ac:dyDescent="0.25">
      <c r="A38" t="s">
        <v>143</v>
      </c>
      <c r="B38" t="s">
        <v>35</v>
      </c>
      <c r="C38" t="s">
        <v>85</v>
      </c>
      <c r="D38" t="s">
        <v>12</v>
      </c>
      <c r="E38" t="s">
        <v>144</v>
      </c>
      <c r="F38" t="s">
        <v>87</v>
      </c>
      <c r="G38" t="s">
        <v>370</v>
      </c>
      <c r="H38" t="s">
        <v>371</v>
      </c>
      <c r="I38" s="2">
        <v>1</v>
      </c>
      <c r="J38" s="2">
        <v>1</v>
      </c>
      <c r="K38" s="2">
        <v>0</v>
      </c>
      <c r="L38" s="2">
        <v>0.7</v>
      </c>
      <c r="M38" s="4">
        <f t="shared" si="5"/>
        <v>4</v>
      </c>
      <c r="N38" s="4">
        <f t="shared" si="6"/>
        <v>4</v>
      </c>
      <c r="O38" s="4">
        <f t="shared" si="7"/>
        <v>0</v>
      </c>
      <c r="P38" s="4">
        <f t="shared" si="4"/>
        <v>3</v>
      </c>
    </row>
    <row r="39" spans="1:16" x14ac:dyDescent="0.25">
      <c r="A39" t="s">
        <v>145</v>
      </c>
      <c r="B39" t="s">
        <v>35</v>
      </c>
      <c r="C39" t="s">
        <v>146</v>
      </c>
      <c r="D39" t="s">
        <v>147</v>
      </c>
      <c r="E39" t="s">
        <v>148</v>
      </c>
      <c r="F39" t="s">
        <v>149</v>
      </c>
      <c r="G39" t="s">
        <v>366</v>
      </c>
      <c r="H39" t="s">
        <v>359</v>
      </c>
      <c r="I39" s="2">
        <v>1</v>
      </c>
      <c r="J39" s="2">
        <v>1</v>
      </c>
      <c r="K39" s="2">
        <v>0</v>
      </c>
      <c r="L39" s="2">
        <v>0.7</v>
      </c>
      <c r="M39" s="4">
        <f t="shared" si="5"/>
        <v>4</v>
      </c>
      <c r="N39" s="4">
        <f t="shared" si="6"/>
        <v>4</v>
      </c>
      <c r="O39" s="4">
        <f t="shared" si="7"/>
        <v>0</v>
      </c>
      <c r="P39" s="4">
        <f t="shared" si="4"/>
        <v>3</v>
      </c>
    </row>
    <row r="40" spans="1:16" x14ac:dyDescent="0.25">
      <c r="A40" t="s">
        <v>153</v>
      </c>
      <c r="B40" t="s">
        <v>35</v>
      </c>
      <c r="C40" t="s">
        <v>154</v>
      </c>
      <c r="D40" t="s">
        <v>155</v>
      </c>
      <c r="E40" t="s">
        <v>156</v>
      </c>
      <c r="F40" t="s">
        <v>157</v>
      </c>
      <c r="G40" t="s">
        <v>360</v>
      </c>
      <c r="H40" t="s">
        <v>362</v>
      </c>
      <c r="I40" s="2">
        <v>1</v>
      </c>
      <c r="J40" s="2">
        <v>1</v>
      </c>
      <c r="K40" s="2">
        <v>0</v>
      </c>
      <c r="L40" s="2">
        <v>0.7</v>
      </c>
      <c r="M40" s="4">
        <f t="shared" si="5"/>
        <v>4</v>
      </c>
      <c r="N40" s="4">
        <f t="shared" si="6"/>
        <v>4</v>
      </c>
      <c r="O40" s="4">
        <f t="shared" si="7"/>
        <v>0</v>
      </c>
      <c r="P40" s="4">
        <f t="shared" si="4"/>
        <v>3</v>
      </c>
    </row>
    <row r="41" spans="1:16" x14ac:dyDescent="0.25">
      <c r="A41" t="s">
        <v>109</v>
      </c>
      <c r="B41" t="s">
        <v>35</v>
      </c>
      <c r="C41" t="s">
        <v>110</v>
      </c>
      <c r="D41" t="s">
        <v>20</v>
      </c>
      <c r="E41" t="s">
        <v>111</v>
      </c>
      <c r="F41" t="s">
        <v>112</v>
      </c>
      <c r="G41" t="s">
        <v>369</v>
      </c>
      <c r="H41" t="s">
        <v>359</v>
      </c>
      <c r="I41" s="2">
        <v>1</v>
      </c>
      <c r="J41" s="2">
        <v>0.7</v>
      </c>
      <c r="K41" s="2">
        <v>0</v>
      </c>
      <c r="L41" s="2">
        <v>1</v>
      </c>
      <c r="M41" s="4">
        <f t="shared" si="5"/>
        <v>4</v>
      </c>
      <c r="N41" s="4">
        <f t="shared" si="6"/>
        <v>3</v>
      </c>
      <c r="O41" s="4">
        <f t="shared" si="7"/>
        <v>0</v>
      </c>
      <c r="P41" s="4">
        <f t="shared" si="4"/>
        <v>4</v>
      </c>
    </row>
    <row r="42" spans="1:16" x14ac:dyDescent="0.25">
      <c r="A42" t="s">
        <v>84</v>
      </c>
      <c r="B42" t="s">
        <v>35</v>
      </c>
      <c r="C42" t="s">
        <v>85</v>
      </c>
      <c r="D42" t="s">
        <v>14</v>
      </c>
      <c r="E42" t="s">
        <v>86</v>
      </c>
      <c r="F42" t="s">
        <v>87</v>
      </c>
      <c r="G42" t="s">
        <v>363</v>
      </c>
      <c r="H42" t="s">
        <v>367</v>
      </c>
      <c r="I42" s="2">
        <v>1</v>
      </c>
      <c r="J42" s="2">
        <v>1</v>
      </c>
      <c r="K42" s="2">
        <v>0</v>
      </c>
      <c r="L42" s="2">
        <v>0.7</v>
      </c>
      <c r="M42" s="4">
        <f t="shared" si="5"/>
        <v>4</v>
      </c>
      <c r="N42" s="4">
        <f t="shared" si="6"/>
        <v>4</v>
      </c>
      <c r="O42" s="4">
        <f t="shared" si="7"/>
        <v>0</v>
      </c>
      <c r="P42" s="4">
        <f t="shared" si="4"/>
        <v>3</v>
      </c>
    </row>
    <row r="43" spans="1:16" x14ac:dyDescent="0.25">
      <c r="A43" t="s">
        <v>170</v>
      </c>
      <c r="B43" t="s">
        <v>35</v>
      </c>
      <c r="C43" t="s">
        <v>171</v>
      </c>
      <c r="D43" t="s">
        <v>28</v>
      </c>
      <c r="E43" t="s">
        <v>172</v>
      </c>
      <c r="F43" t="s">
        <v>173</v>
      </c>
      <c r="G43" t="s">
        <v>370</v>
      </c>
      <c r="H43" t="s">
        <v>362</v>
      </c>
      <c r="I43" s="2">
        <v>1</v>
      </c>
      <c r="J43" s="2">
        <v>1</v>
      </c>
      <c r="K43" s="2">
        <v>0.35</v>
      </c>
      <c r="L43" s="2">
        <v>0.7</v>
      </c>
      <c r="M43" s="4">
        <f t="shared" si="5"/>
        <v>4</v>
      </c>
      <c r="N43" s="4">
        <f t="shared" si="6"/>
        <v>4</v>
      </c>
      <c r="O43" s="4">
        <f t="shared" si="7"/>
        <v>2</v>
      </c>
      <c r="P43" s="4">
        <f t="shared" si="4"/>
        <v>3</v>
      </c>
    </row>
    <row r="44" spans="1:16" x14ac:dyDescent="0.25">
      <c r="A44" t="s">
        <v>158</v>
      </c>
      <c r="B44" t="s">
        <v>35</v>
      </c>
      <c r="C44" t="s">
        <v>91</v>
      </c>
      <c r="D44" t="s">
        <v>159</v>
      </c>
      <c r="E44" t="s">
        <v>160</v>
      </c>
      <c r="F44" t="s">
        <v>94</v>
      </c>
      <c r="G44" t="s">
        <v>361</v>
      </c>
      <c r="H44" t="s">
        <v>367</v>
      </c>
      <c r="I44" s="2">
        <v>1</v>
      </c>
      <c r="J44" s="2">
        <v>1</v>
      </c>
      <c r="K44" s="2">
        <v>0</v>
      </c>
      <c r="L44" s="2">
        <v>0.7</v>
      </c>
      <c r="M44" s="4">
        <f t="shared" si="5"/>
        <v>4</v>
      </c>
      <c r="N44" s="4">
        <f t="shared" si="6"/>
        <v>4</v>
      </c>
      <c r="O44" s="4">
        <f t="shared" si="7"/>
        <v>0</v>
      </c>
      <c r="P44" s="4">
        <f t="shared" si="4"/>
        <v>3</v>
      </c>
    </row>
    <row r="45" spans="1:16" x14ac:dyDescent="0.25">
      <c r="A45" t="s">
        <v>163</v>
      </c>
      <c r="B45" t="s">
        <v>35</v>
      </c>
      <c r="C45" t="s">
        <v>164</v>
      </c>
      <c r="D45" t="s">
        <v>165</v>
      </c>
      <c r="E45" t="s">
        <v>156</v>
      </c>
      <c r="F45" t="s">
        <v>166</v>
      </c>
      <c r="G45" t="s">
        <v>364</v>
      </c>
      <c r="H45" t="s">
        <v>362</v>
      </c>
      <c r="I45" s="2">
        <v>1</v>
      </c>
      <c r="J45" s="2">
        <v>1</v>
      </c>
      <c r="K45" s="2">
        <v>0</v>
      </c>
      <c r="L45" s="2">
        <v>0.7</v>
      </c>
      <c r="M45" s="4">
        <f t="shared" si="5"/>
        <v>4</v>
      </c>
      <c r="N45" s="4">
        <f t="shared" si="6"/>
        <v>4</v>
      </c>
      <c r="O45" s="4">
        <f t="shared" si="7"/>
        <v>0</v>
      </c>
      <c r="P45" s="4">
        <f t="shared" si="4"/>
        <v>3</v>
      </c>
    </row>
    <row r="46" spans="1:16" x14ac:dyDescent="0.25">
      <c r="A46" t="s">
        <v>287</v>
      </c>
      <c r="B46" t="s">
        <v>35</v>
      </c>
      <c r="C46" t="s">
        <v>288</v>
      </c>
      <c r="D46" t="s">
        <v>289</v>
      </c>
      <c r="E46" t="s">
        <v>290</v>
      </c>
      <c r="F46" t="s">
        <v>291</v>
      </c>
      <c r="G46" t="s">
        <v>369</v>
      </c>
      <c r="H46" t="s">
        <v>371</v>
      </c>
      <c r="I46" s="2">
        <v>1</v>
      </c>
      <c r="J46" s="2">
        <v>1</v>
      </c>
      <c r="K46" s="2">
        <v>0.35</v>
      </c>
      <c r="L46" s="2">
        <v>0.7</v>
      </c>
      <c r="M46" s="4">
        <f t="shared" si="5"/>
        <v>4</v>
      </c>
      <c r="N46" s="4">
        <f t="shared" si="6"/>
        <v>4</v>
      </c>
      <c r="O46" s="4">
        <f t="shared" si="7"/>
        <v>2</v>
      </c>
      <c r="P46" s="4">
        <f t="shared" si="4"/>
        <v>3</v>
      </c>
    </row>
    <row r="47" spans="1:16" x14ac:dyDescent="0.25">
      <c r="A47" t="s">
        <v>222</v>
      </c>
      <c r="B47" t="s">
        <v>35</v>
      </c>
      <c r="C47" t="s">
        <v>130</v>
      </c>
      <c r="D47" t="s">
        <v>223</v>
      </c>
      <c r="E47" t="s">
        <v>224</v>
      </c>
      <c r="F47" t="s">
        <v>133</v>
      </c>
      <c r="G47" t="s">
        <v>372</v>
      </c>
      <c r="H47" t="s">
        <v>373</v>
      </c>
      <c r="I47" s="2">
        <v>1</v>
      </c>
      <c r="J47" s="2">
        <v>1</v>
      </c>
      <c r="K47" s="2">
        <v>0</v>
      </c>
      <c r="L47" s="2">
        <v>0.7</v>
      </c>
      <c r="M47" s="4">
        <f t="shared" si="5"/>
        <v>4</v>
      </c>
      <c r="N47" s="4">
        <f t="shared" si="6"/>
        <v>4</v>
      </c>
      <c r="O47" s="4">
        <f t="shared" si="7"/>
        <v>0</v>
      </c>
      <c r="P47" s="4">
        <f t="shared" si="4"/>
        <v>3</v>
      </c>
    </row>
    <row r="48" spans="1:16" x14ac:dyDescent="0.25">
      <c r="A48" t="s">
        <v>174</v>
      </c>
      <c r="B48" t="s">
        <v>35</v>
      </c>
      <c r="C48" t="s">
        <v>175</v>
      </c>
      <c r="D48" t="s">
        <v>176</v>
      </c>
      <c r="E48" t="s">
        <v>177</v>
      </c>
      <c r="F48" t="s">
        <v>178</v>
      </c>
      <c r="G48" t="s">
        <v>361</v>
      </c>
      <c r="H48" t="s">
        <v>359</v>
      </c>
      <c r="I48" s="2">
        <v>1</v>
      </c>
      <c r="J48" s="2">
        <v>0.7</v>
      </c>
      <c r="K48" s="2">
        <v>0</v>
      </c>
      <c r="L48" s="2">
        <v>0.7</v>
      </c>
      <c r="M48" s="4">
        <f t="shared" si="5"/>
        <v>4</v>
      </c>
      <c r="N48" s="4">
        <f t="shared" si="6"/>
        <v>3</v>
      </c>
      <c r="O48" s="4">
        <f t="shared" si="7"/>
        <v>0</v>
      </c>
      <c r="P48" s="4">
        <f t="shared" si="4"/>
        <v>3</v>
      </c>
    </row>
    <row r="49" spans="1:16" x14ac:dyDescent="0.25">
      <c r="A49" t="s">
        <v>179</v>
      </c>
      <c r="B49" t="s">
        <v>35</v>
      </c>
      <c r="C49" t="s">
        <v>180</v>
      </c>
      <c r="D49" t="s">
        <v>181</v>
      </c>
      <c r="E49" t="s">
        <v>182</v>
      </c>
      <c r="F49" t="s">
        <v>183</v>
      </c>
      <c r="G49" t="s">
        <v>364</v>
      </c>
      <c r="H49" t="s">
        <v>362</v>
      </c>
      <c r="I49" s="2">
        <v>1</v>
      </c>
      <c r="J49" s="2">
        <v>0.7</v>
      </c>
      <c r="K49" s="2">
        <v>0</v>
      </c>
      <c r="L49" s="2">
        <v>0.7</v>
      </c>
      <c r="M49" s="4">
        <f t="shared" si="5"/>
        <v>4</v>
      </c>
      <c r="N49" s="4">
        <f t="shared" si="6"/>
        <v>3</v>
      </c>
      <c r="O49" s="4">
        <f t="shared" si="7"/>
        <v>0</v>
      </c>
      <c r="P49" s="4">
        <f t="shared" si="4"/>
        <v>3</v>
      </c>
    </row>
    <row r="50" spans="1:16" x14ac:dyDescent="0.25">
      <c r="A50" t="s">
        <v>280</v>
      </c>
      <c r="B50" t="s">
        <v>35</v>
      </c>
      <c r="C50" t="s">
        <v>146</v>
      </c>
      <c r="D50" t="s">
        <v>281</v>
      </c>
      <c r="E50" t="s">
        <v>282</v>
      </c>
      <c r="F50" t="s">
        <v>149</v>
      </c>
      <c r="G50" t="s">
        <v>363</v>
      </c>
      <c r="H50" t="s">
        <v>358</v>
      </c>
      <c r="I50" s="2">
        <v>1</v>
      </c>
      <c r="J50" s="2">
        <v>0.7</v>
      </c>
      <c r="K50" s="2">
        <v>0</v>
      </c>
      <c r="L50" s="2">
        <v>0.7</v>
      </c>
      <c r="M50" s="4">
        <f t="shared" si="5"/>
        <v>4</v>
      </c>
      <c r="N50" s="4">
        <f t="shared" si="6"/>
        <v>3</v>
      </c>
      <c r="O50" s="4">
        <f t="shared" si="7"/>
        <v>0</v>
      </c>
      <c r="P50" s="4">
        <f t="shared" ref="P50:P77" si="8">IF(L50=1,4,IF(L50=0.7,3,IF(L50=0.35,2,IF(L50=0.1,1,0))))</f>
        <v>3</v>
      </c>
    </row>
    <row r="51" spans="1:16" x14ac:dyDescent="0.25">
      <c r="A51" t="s">
        <v>185</v>
      </c>
      <c r="B51" t="s">
        <v>184</v>
      </c>
      <c r="C51" t="s">
        <v>164</v>
      </c>
      <c r="D51" t="s">
        <v>186</v>
      </c>
      <c r="E51" t="s">
        <v>187</v>
      </c>
      <c r="F51" t="s">
        <v>166</v>
      </c>
      <c r="G51" t="s">
        <v>364</v>
      </c>
      <c r="H51" t="s">
        <v>362</v>
      </c>
      <c r="I51" s="2">
        <v>1</v>
      </c>
      <c r="J51" s="2">
        <v>1</v>
      </c>
      <c r="K51" s="2">
        <v>0</v>
      </c>
      <c r="L51" s="2">
        <v>0.7</v>
      </c>
      <c r="M51" s="4">
        <f t="shared" si="5"/>
        <v>4</v>
      </c>
      <c r="N51" s="4">
        <f t="shared" si="6"/>
        <v>4</v>
      </c>
      <c r="O51" s="4">
        <f t="shared" si="7"/>
        <v>0</v>
      </c>
      <c r="P51" s="4">
        <f t="shared" si="8"/>
        <v>3</v>
      </c>
    </row>
    <row r="52" spans="1:16" x14ac:dyDescent="0.25">
      <c r="A52" t="s">
        <v>285</v>
      </c>
      <c r="B52" t="s">
        <v>35</v>
      </c>
      <c r="C52" t="s">
        <v>239</v>
      </c>
      <c r="D52" t="s">
        <v>16</v>
      </c>
      <c r="E52" t="s">
        <v>286</v>
      </c>
      <c r="F52" t="s">
        <v>241</v>
      </c>
      <c r="G52" t="s">
        <v>361</v>
      </c>
      <c r="H52" t="s">
        <v>359</v>
      </c>
      <c r="I52" s="2">
        <v>1</v>
      </c>
      <c r="J52" s="2">
        <v>1</v>
      </c>
      <c r="K52" s="2">
        <v>0</v>
      </c>
      <c r="L52" s="2">
        <v>0.7</v>
      </c>
      <c r="M52" s="4">
        <f t="shared" si="5"/>
        <v>4</v>
      </c>
      <c r="N52" s="4">
        <f t="shared" si="6"/>
        <v>4</v>
      </c>
      <c r="O52" s="4">
        <f t="shared" si="7"/>
        <v>0</v>
      </c>
      <c r="P52" s="4">
        <f t="shared" si="8"/>
        <v>3</v>
      </c>
    </row>
    <row r="53" spans="1:16" x14ac:dyDescent="0.25">
      <c r="A53" t="s">
        <v>107</v>
      </c>
      <c r="B53" t="s">
        <v>35</v>
      </c>
      <c r="C53" t="s">
        <v>85</v>
      </c>
      <c r="D53" t="s">
        <v>11</v>
      </c>
      <c r="E53" t="s">
        <v>108</v>
      </c>
      <c r="F53" t="s">
        <v>87</v>
      </c>
      <c r="G53" t="s">
        <v>370</v>
      </c>
      <c r="H53" t="s">
        <v>357</v>
      </c>
      <c r="I53" s="2">
        <v>1</v>
      </c>
      <c r="J53" s="2">
        <v>1</v>
      </c>
      <c r="K53" s="2">
        <v>0</v>
      </c>
      <c r="L53" s="2">
        <v>0.7</v>
      </c>
      <c r="M53" s="4">
        <f t="shared" si="5"/>
        <v>4</v>
      </c>
      <c r="N53" s="4">
        <f t="shared" si="6"/>
        <v>4</v>
      </c>
      <c r="O53" s="4">
        <f t="shared" si="7"/>
        <v>0</v>
      </c>
      <c r="P53" s="4">
        <f t="shared" si="8"/>
        <v>3</v>
      </c>
    </row>
    <row r="54" spans="1:16" x14ac:dyDescent="0.25">
      <c r="A54" t="s">
        <v>113</v>
      </c>
      <c r="B54" t="s">
        <v>35</v>
      </c>
      <c r="C54" t="s">
        <v>103</v>
      </c>
      <c r="D54" t="s">
        <v>114</v>
      </c>
      <c r="E54" t="s">
        <v>115</v>
      </c>
      <c r="F54" t="s">
        <v>106</v>
      </c>
      <c r="G54" t="s">
        <v>369</v>
      </c>
      <c r="H54" t="s">
        <v>357</v>
      </c>
      <c r="I54" s="2">
        <v>1</v>
      </c>
      <c r="J54" s="2">
        <v>1</v>
      </c>
      <c r="K54" s="2">
        <v>0</v>
      </c>
      <c r="L54" s="2">
        <v>0.7</v>
      </c>
      <c r="M54" s="4">
        <f t="shared" si="5"/>
        <v>4</v>
      </c>
      <c r="N54" s="4">
        <f t="shared" si="6"/>
        <v>4</v>
      </c>
      <c r="O54" s="4">
        <f t="shared" si="7"/>
        <v>0</v>
      </c>
      <c r="P54" s="4">
        <f t="shared" si="8"/>
        <v>3</v>
      </c>
    </row>
    <row r="55" spans="1:16" x14ac:dyDescent="0.25">
      <c r="A55" t="s">
        <v>325</v>
      </c>
      <c r="B55" t="s">
        <v>35</v>
      </c>
      <c r="C55" t="s">
        <v>103</v>
      </c>
      <c r="D55" t="s">
        <v>326</v>
      </c>
      <c r="E55" t="s">
        <v>327</v>
      </c>
      <c r="F55" t="s">
        <v>106</v>
      </c>
      <c r="G55" t="s">
        <v>361</v>
      </c>
      <c r="H55" t="s">
        <v>357</v>
      </c>
      <c r="I55" s="2">
        <v>1</v>
      </c>
      <c r="J55" s="2">
        <v>1</v>
      </c>
      <c r="K55" s="2">
        <v>0</v>
      </c>
      <c r="L55" s="2">
        <v>0.7</v>
      </c>
      <c r="M55" s="4">
        <f t="shared" si="5"/>
        <v>4</v>
      </c>
      <c r="N55" s="4">
        <f t="shared" si="6"/>
        <v>4</v>
      </c>
      <c r="O55" s="4">
        <f t="shared" si="7"/>
        <v>0</v>
      </c>
      <c r="P55" s="4">
        <f t="shared" si="8"/>
        <v>3</v>
      </c>
    </row>
    <row r="56" spans="1:16" x14ac:dyDescent="0.25">
      <c r="A56" t="s">
        <v>190</v>
      </c>
      <c r="B56" t="s">
        <v>35</v>
      </c>
      <c r="C56" t="s">
        <v>37</v>
      </c>
      <c r="D56" t="s">
        <v>191</v>
      </c>
      <c r="E56" t="s">
        <v>192</v>
      </c>
      <c r="F56" t="s">
        <v>40</v>
      </c>
      <c r="G56" t="s">
        <v>369</v>
      </c>
      <c r="H56" t="s">
        <v>362</v>
      </c>
      <c r="I56" s="2">
        <v>1</v>
      </c>
      <c r="J56" s="2">
        <v>1</v>
      </c>
      <c r="K56" s="2">
        <v>0</v>
      </c>
      <c r="L56" s="2">
        <v>0.7</v>
      </c>
      <c r="M56" s="4">
        <f t="shared" si="5"/>
        <v>4</v>
      </c>
      <c r="N56" s="4">
        <f t="shared" si="6"/>
        <v>4</v>
      </c>
      <c r="O56" s="4">
        <f t="shared" si="7"/>
        <v>0</v>
      </c>
      <c r="P56" s="4">
        <f t="shared" si="8"/>
        <v>3</v>
      </c>
    </row>
    <row r="57" spans="1:16" x14ac:dyDescent="0.25">
      <c r="A57" t="s">
        <v>205</v>
      </c>
      <c r="B57" t="s">
        <v>35</v>
      </c>
      <c r="C57" t="s">
        <v>85</v>
      </c>
      <c r="D57" t="s">
        <v>15</v>
      </c>
      <c r="E57" t="s">
        <v>206</v>
      </c>
      <c r="F57" t="s">
        <v>87</v>
      </c>
      <c r="G57" t="s">
        <v>363</v>
      </c>
      <c r="H57" t="s">
        <v>358</v>
      </c>
      <c r="I57" s="2">
        <v>1</v>
      </c>
      <c r="J57" s="2">
        <v>0.7</v>
      </c>
      <c r="K57" s="2">
        <v>0</v>
      </c>
      <c r="L57" s="2">
        <v>0.7</v>
      </c>
      <c r="M57" s="4">
        <f t="shared" si="5"/>
        <v>4</v>
      </c>
      <c r="N57" s="4">
        <f t="shared" si="6"/>
        <v>3</v>
      </c>
      <c r="O57" s="4">
        <f t="shared" si="7"/>
        <v>0</v>
      </c>
      <c r="P57" s="4">
        <f t="shared" si="8"/>
        <v>3</v>
      </c>
    </row>
    <row r="58" spans="1:16" x14ac:dyDescent="0.25">
      <c r="A58" t="s">
        <v>314</v>
      </c>
      <c r="B58" t="s">
        <v>35</v>
      </c>
      <c r="C58" t="s">
        <v>37</v>
      </c>
      <c r="D58" t="s">
        <v>315</v>
      </c>
      <c r="E58" t="s">
        <v>316</v>
      </c>
      <c r="F58" t="s">
        <v>40</v>
      </c>
      <c r="G58" t="s">
        <v>375</v>
      </c>
      <c r="H58" t="s">
        <v>357</v>
      </c>
      <c r="I58" s="2">
        <v>1</v>
      </c>
      <c r="J58" s="2">
        <v>0.7</v>
      </c>
      <c r="K58" s="2">
        <v>0</v>
      </c>
      <c r="L58" s="2">
        <v>0.7</v>
      </c>
      <c r="M58" s="4">
        <f t="shared" si="5"/>
        <v>4</v>
      </c>
      <c r="N58" s="4">
        <f t="shared" si="6"/>
        <v>3</v>
      </c>
      <c r="O58" s="4">
        <f t="shared" si="7"/>
        <v>0</v>
      </c>
      <c r="P58" s="4">
        <f t="shared" si="8"/>
        <v>3</v>
      </c>
    </row>
    <row r="59" spans="1:16" x14ac:dyDescent="0.25">
      <c r="A59" t="s">
        <v>216</v>
      </c>
      <c r="B59" t="s">
        <v>35</v>
      </c>
      <c r="C59" t="s">
        <v>117</v>
      </c>
      <c r="D59" t="s">
        <v>217</v>
      </c>
      <c r="E59" t="s">
        <v>208</v>
      </c>
      <c r="F59" t="s">
        <v>120</v>
      </c>
      <c r="G59" t="s">
        <v>372</v>
      </c>
      <c r="H59" t="s">
        <v>373</v>
      </c>
      <c r="I59" s="2">
        <v>0.7</v>
      </c>
      <c r="J59" s="2">
        <v>1</v>
      </c>
      <c r="K59" s="2">
        <v>0</v>
      </c>
      <c r="L59" s="2">
        <v>0.7</v>
      </c>
      <c r="M59" s="4">
        <f t="shared" si="5"/>
        <v>3</v>
      </c>
      <c r="N59" s="4">
        <f t="shared" si="6"/>
        <v>4</v>
      </c>
      <c r="O59" s="4">
        <f t="shared" si="7"/>
        <v>0</v>
      </c>
      <c r="P59" s="4">
        <f t="shared" si="8"/>
        <v>3</v>
      </c>
    </row>
    <row r="60" spans="1:16" x14ac:dyDescent="0.25">
      <c r="A60" t="s">
        <v>255</v>
      </c>
      <c r="B60" t="s">
        <v>35</v>
      </c>
      <c r="C60" t="s">
        <v>239</v>
      </c>
      <c r="D60" t="s">
        <v>17</v>
      </c>
      <c r="E60" t="s">
        <v>256</v>
      </c>
      <c r="F60" t="s">
        <v>241</v>
      </c>
      <c r="G60" t="s">
        <v>372</v>
      </c>
      <c r="H60" t="s">
        <v>373</v>
      </c>
      <c r="I60" s="2">
        <v>0.7</v>
      </c>
      <c r="J60" s="2">
        <v>1</v>
      </c>
      <c r="K60" s="2">
        <v>0</v>
      </c>
      <c r="L60" s="2">
        <v>0.7</v>
      </c>
      <c r="M60" s="4">
        <f t="shared" si="5"/>
        <v>3</v>
      </c>
      <c r="N60" s="4">
        <f t="shared" si="6"/>
        <v>4</v>
      </c>
      <c r="O60" s="4">
        <f t="shared" si="7"/>
        <v>0</v>
      </c>
      <c r="P60" s="4">
        <f t="shared" si="8"/>
        <v>3</v>
      </c>
    </row>
    <row r="61" spans="1:16" x14ac:dyDescent="0.25">
      <c r="A61" t="s">
        <v>134</v>
      </c>
      <c r="B61" t="s">
        <v>35</v>
      </c>
      <c r="C61" t="s">
        <v>42</v>
      </c>
      <c r="D61" t="s">
        <v>135</v>
      </c>
      <c r="E61" t="s">
        <v>136</v>
      </c>
      <c r="F61" t="s">
        <v>137</v>
      </c>
      <c r="G61" t="s">
        <v>369</v>
      </c>
      <c r="H61" t="s">
        <v>371</v>
      </c>
      <c r="I61" s="2">
        <v>1</v>
      </c>
      <c r="J61" s="2">
        <v>0.7</v>
      </c>
      <c r="K61" s="2">
        <v>0</v>
      </c>
      <c r="L61" s="2">
        <v>0.7</v>
      </c>
      <c r="M61" s="4">
        <f t="shared" si="5"/>
        <v>4</v>
      </c>
      <c r="N61" s="4">
        <f t="shared" si="6"/>
        <v>3</v>
      </c>
      <c r="O61" s="4">
        <f t="shared" si="7"/>
        <v>0</v>
      </c>
      <c r="P61" s="4">
        <f t="shared" si="8"/>
        <v>3</v>
      </c>
    </row>
    <row r="62" spans="1:16" x14ac:dyDescent="0.25">
      <c r="A62" t="s">
        <v>225</v>
      </c>
      <c r="B62" t="s">
        <v>35</v>
      </c>
      <c r="C62" t="s">
        <v>91</v>
      </c>
      <c r="D62" t="s">
        <v>226</v>
      </c>
      <c r="E62" t="s">
        <v>227</v>
      </c>
      <c r="F62" t="s">
        <v>94</v>
      </c>
      <c r="G62" t="s">
        <v>361</v>
      </c>
      <c r="H62" t="s">
        <v>357</v>
      </c>
      <c r="I62" s="2">
        <v>1</v>
      </c>
      <c r="J62" s="2">
        <v>0.7</v>
      </c>
      <c r="K62" s="2">
        <v>0</v>
      </c>
      <c r="L62" s="2">
        <v>0.7</v>
      </c>
      <c r="M62" s="4">
        <f t="shared" si="5"/>
        <v>4</v>
      </c>
      <c r="N62" s="4">
        <f t="shared" si="6"/>
        <v>3</v>
      </c>
      <c r="O62" s="4">
        <f t="shared" si="7"/>
        <v>0</v>
      </c>
      <c r="P62" s="4">
        <f t="shared" si="8"/>
        <v>3</v>
      </c>
    </row>
    <row r="63" spans="1:16" x14ac:dyDescent="0.25">
      <c r="A63" t="s">
        <v>322</v>
      </c>
      <c r="B63" t="s">
        <v>35</v>
      </c>
      <c r="C63" t="s">
        <v>288</v>
      </c>
      <c r="D63" t="s">
        <v>323</v>
      </c>
      <c r="E63" t="s">
        <v>324</v>
      </c>
      <c r="F63" t="s">
        <v>291</v>
      </c>
      <c r="G63" t="s">
        <v>374</v>
      </c>
      <c r="H63" t="s">
        <v>371</v>
      </c>
      <c r="I63" s="2">
        <v>1</v>
      </c>
      <c r="J63" s="2">
        <v>0.7</v>
      </c>
      <c r="K63" s="2">
        <v>0</v>
      </c>
      <c r="L63" s="2">
        <v>0.7</v>
      </c>
      <c r="M63" s="4">
        <f t="shared" si="5"/>
        <v>4</v>
      </c>
      <c r="N63" s="4">
        <f t="shared" si="6"/>
        <v>3</v>
      </c>
      <c r="O63" s="4">
        <f t="shared" si="7"/>
        <v>0</v>
      </c>
      <c r="P63" s="4">
        <f t="shared" si="8"/>
        <v>3</v>
      </c>
    </row>
    <row r="64" spans="1:16" x14ac:dyDescent="0.25">
      <c r="A64" t="s">
        <v>233</v>
      </c>
      <c r="B64" t="s">
        <v>35</v>
      </c>
      <c r="C64" t="s">
        <v>234</v>
      </c>
      <c r="D64" t="s">
        <v>235</v>
      </c>
      <c r="E64" t="s">
        <v>236</v>
      </c>
      <c r="F64" t="s">
        <v>237</v>
      </c>
      <c r="G64" t="s">
        <v>372</v>
      </c>
      <c r="H64" t="s">
        <v>373</v>
      </c>
      <c r="I64" s="2">
        <v>0.7</v>
      </c>
      <c r="J64" s="2">
        <v>1</v>
      </c>
      <c r="K64" s="2">
        <v>0</v>
      </c>
      <c r="L64" s="2">
        <v>0.7</v>
      </c>
      <c r="M64" s="4">
        <f t="shared" si="5"/>
        <v>3</v>
      </c>
      <c r="N64" s="4">
        <f t="shared" si="6"/>
        <v>4</v>
      </c>
      <c r="O64" s="4">
        <f t="shared" si="7"/>
        <v>0</v>
      </c>
      <c r="P64" s="4">
        <f t="shared" si="8"/>
        <v>3</v>
      </c>
    </row>
    <row r="65" spans="1:16" x14ac:dyDescent="0.25">
      <c r="A65" t="s">
        <v>214</v>
      </c>
      <c r="B65" t="s">
        <v>35</v>
      </c>
      <c r="C65" t="s">
        <v>139</v>
      </c>
      <c r="D65" t="s">
        <v>30</v>
      </c>
      <c r="E65" t="s">
        <v>215</v>
      </c>
      <c r="F65" t="s">
        <v>142</v>
      </c>
      <c r="G65" t="s">
        <v>372</v>
      </c>
      <c r="H65" t="s">
        <v>373</v>
      </c>
      <c r="I65" s="2">
        <v>1</v>
      </c>
      <c r="J65" s="2">
        <v>1</v>
      </c>
      <c r="K65" s="2">
        <v>0.35</v>
      </c>
      <c r="L65" s="2">
        <v>0.35</v>
      </c>
      <c r="M65" s="4">
        <f t="shared" si="5"/>
        <v>4</v>
      </c>
      <c r="N65" s="4">
        <f t="shared" si="6"/>
        <v>4</v>
      </c>
      <c r="O65" s="4">
        <f t="shared" si="7"/>
        <v>2</v>
      </c>
      <c r="P65" s="4">
        <f t="shared" si="8"/>
        <v>2</v>
      </c>
    </row>
    <row r="66" spans="1:16" x14ac:dyDescent="0.25">
      <c r="A66" t="s">
        <v>238</v>
      </c>
      <c r="B66" t="s">
        <v>35</v>
      </c>
      <c r="C66" t="s">
        <v>239</v>
      </c>
      <c r="D66" t="s">
        <v>18</v>
      </c>
      <c r="E66" t="s">
        <v>240</v>
      </c>
      <c r="F66" t="s">
        <v>241</v>
      </c>
      <c r="G66" t="s">
        <v>368</v>
      </c>
      <c r="H66" t="s">
        <v>359</v>
      </c>
      <c r="I66" s="2">
        <v>0.7</v>
      </c>
      <c r="J66" s="2">
        <v>1</v>
      </c>
      <c r="K66" s="2">
        <v>0.1</v>
      </c>
      <c r="L66" s="2">
        <v>0.7</v>
      </c>
      <c r="M66" s="4">
        <f t="shared" ref="M66:M91" si="9">IF(I66=1,4,IF(I66=0.7,3,IF(I66=0.35,2,IF(I66=0.1,1,0))))</f>
        <v>3</v>
      </c>
      <c r="N66" s="4">
        <f t="shared" ref="N66:N91" si="10">IF(J66=1,4,IF(J66=0.7,3,IF(J66=0.35,2,IF(J66=0.1,1,0))))</f>
        <v>4</v>
      </c>
      <c r="O66" s="4">
        <f t="shared" ref="O66:O91" si="11">IF(K66=1,4,IF(K66=0.7,3,IF(K66=0.35,2,IF(K66=0.1,1,0))))</f>
        <v>1</v>
      </c>
      <c r="P66" s="4">
        <f t="shared" si="8"/>
        <v>3</v>
      </c>
    </row>
    <row r="67" spans="1:16" x14ac:dyDescent="0.25">
      <c r="A67" t="s">
        <v>244</v>
      </c>
      <c r="B67" t="s">
        <v>35</v>
      </c>
      <c r="C67" t="s">
        <v>245</v>
      </c>
      <c r="D67" t="s">
        <v>246</v>
      </c>
      <c r="E67" t="s">
        <v>247</v>
      </c>
      <c r="F67" t="s">
        <v>248</v>
      </c>
      <c r="G67" t="s">
        <v>374</v>
      </c>
      <c r="H67" t="s">
        <v>362</v>
      </c>
      <c r="I67" s="2">
        <v>0.7</v>
      </c>
      <c r="J67" s="2">
        <v>1</v>
      </c>
      <c r="K67" s="2">
        <v>0</v>
      </c>
      <c r="L67" s="2">
        <v>0.7</v>
      </c>
      <c r="M67" s="4">
        <f t="shared" si="9"/>
        <v>3</v>
      </c>
      <c r="N67" s="4">
        <f t="shared" si="10"/>
        <v>4</v>
      </c>
      <c r="O67" s="4">
        <f t="shared" si="11"/>
        <v>0</v>
      </c>
      <c r="P67" s="4">
        <f t="shared" si="8"/>
        <v>3</v>
      </c>
    </row>
    <row r="68" spans="1:16" x14ac:dyDescent="0.25">
      <c r="A68" t="s">
        <v>307</v>
      </c>
      <c r="B68" t="s">
        <v>35</v>
      </c>
      <c r="C68" t="s">
        <v>267</v>
      </c>
      <c r="D68" t="s">
        <v>308</v>
      </c>
      <c r="E68" t="s">
        <v>208</v>
      </c>
      <c r="F68" t="s">
        <v>270</v>
      </c>
      <c r="G68" t="s">
        <v>372</v>
      </c>
      <c r="H68" t="s">
        <v>373</v>
      </c>
      <c r="I68" s="2">
        <v>0.7</v>
      </c>
      <c r="J68" s="2">
        <v>1</v>
      </c>
      <c r="K68" s="2">
        <v>0</v>
      </c>
      <c r="L68" s="2">
        <v>0.7</v>
      </c>
      <c r="M68" s="4">
        <f t="shared" si="9"/>
        <v>3</v>
      </c>
      <c r="N68" s="4">
        <f t="shared" si="10"/>
        <v>4</v>
      </c>
      <c r="O68" s="4">
        <f t="shared" si="11"/>
        <v>0</v>
      </c>
      <c r="P68" s="4">
        <f t="shared" si="8"/>
        <v>3</v>
      </c>
    </row>
    <row r="69" spans="1:16" x14ac:dyDescent="0.25">
      <c r="A69" t="s">
        <v>228</v>
      </c>
      <c r="B69" t="s">
        <v>35</v>
      </c>
      <c r="C69" t="s">
        <v>229</v>
      </c>
      <c r="D69" t="s">
        <v>230</v>
      </c>
      <c r="E69" t="s">
        <v>231</v>
      </c>
      <c r="F69" t="s">
        <v>232</v>
      </c>
      <c r="G69" t="s">
        <v>363</v>
      </c>
      <c r="H69" t="s">
        <v>359</v>
      </c>
      <c r="I69" s="2">
        <v>0.7</v>
      </c>
      <c r="J69" s="2">
        <v>1</v>
      </c>
      <c r="K69" s="2">
        <v>0</v>
      </c>
      <c r="L69" s="2">
        <v>0.7</v>
      </c>
      <c r="M69" s="4">
        <f t="shared" si="9"/>
        <v>3</v>
      </c>
      <c r="N69" s="4">
        <f t="shared" si="10"/>
        <v>4</v>
      </c>
      <c r="O69" s="4">
        <f t="shared" si="11"/>
        <v>0</v>
      </c>
      <c r="P69" s="4">
        <f t="shared" si="8"/>
        <v>3</v>
      </c>
    </row>
    <row r="70" spans="1:16" x14ac:dyDescent="0.25">
      <c r="A70" t="s">
        <v>251</v>
      </c>
      <c r="B70" t="s">
        <v>35</v>
      </c>
      <c r="C70" t="s">
        <v>219</v>
      </c>
      <c r="D70" t="s">
        <v>252</v>
      </c>
      <c r="E70" t="s">
        <v>208</v>
      </c>
      <c r="F70" t="s">
        <v>221</v>
      </c>
      <c r="G70" t="s">
        <v>372</v>
      </c>
      <c r="H70" t="s">
        <v>373</v>
      </c>
      <c r="I70" s="2">
        <v>0.7</v>
      </c>
      <c r="J70" s="2">
        <v>0.7</v>
      </c>
      <c r="K70" s="2">
        <v>0</v>
      </c>
      <c r="L70" s="2">
        <v>0.7</v>
      </c>
      <c r="M70" s="4">
        <f t="shared" si="9"/>
        <v>3</v>
      </c>
      <c r="N70" s="4">
        <f t="shared" si="10"/>
        <v>3</v>
      </c>
      <c r="O70" s="4">
        <f t="shared" si="11"/>
        <v>0</v>
      </c>
      <c r="P70" s="4">
        <f t="shared" si="8"/>
        <v>3</v>
      </c>
    </row>
    <row r="71" spans="1:16" x14ac:dyDescent="0.25">
      <c r="A71" t="s">
        <v>218</v>
      </c>
      <c r="B71" t="s">
        <v>35</v>
      </c>
      <c r="C71" t="s">
        <v>219</v>
      </c>
      <c r="D71" t="s">
        <v>29</v>
      </c>
      <c r="E71" t="s">
        <v>220</v>
      </c>
      <c r="F71" t="s">
        <v>221</v>
      </c>
      <c r="G71" t="s">
        <v>372</v>
      </c>
      <c r="H71" t="s">
        <v>373</v>
      </c>
      <c r="I71" s="2">
        <v>0.7</v>
      </c>
      <c r="J71" s="2">
        <v>0.7</v>
      </c>
      <c r="K71" s="2">
        <v>0</v>
      </c>
      <c r="L71" s="2">
        <v>0.7</v>
      </c>
      <c r="M71" s="4">
        <f t="shared" si="9"/>
        <v>3</v>
      </c>
      <c r="N71" s="4">
        <f t="shared" si="10"/>
        <v>3</v>
      </c>
      <c r="O71" s="4">
        <f t="shared" si="11"/>
        <v>0</v>
      </c>
      <c r="P71" s="4">
        <f t="shared" si="8"/>
        <v>3</v>
      </c>
    </row>
    <row r="72" spans="1:16" x14ac:dyDescent="0.25">
      <c r="A72" t="s">
        <v>253</v>
      </c>
      <c r="B72" t="s">
        <v>35</v>
      </c>
      <c r="C72" t="s">
        <v>245</v>
      </c>
      <c r="D72" t="s">
        <v>13</v>
      </c>
      <c r="E72" t="s">
        <v>254</v>
      </c>
      <c r="F72" t="s">
        <v>248</v>
      </c>
      <c r="G72" t="s">
        <v>374</v>
      </c>
      <c r="H72" t="s">
        <v>362</v>
      </c>
      <c r="I72" s="2">
        <v>0.7</v>
      </c>
      <c r="J72" s="2">
        <v>0.7</v>
      </c>
      <c r="K72" s="2">
        <v>0</v>
      </c>
      <c r="L72" s="2">
        <v>0.7</v>
      </c>
      <c r="M72" s="4">
        <f t="shared" si="9"/>
        <v>3</v>
      </c>
      <c r="N72" s="4">
        <f t="shared" si="10"/>
        <v>3</v>
      </c>
      <c r="O72" s="4">
        <f t="shared" si="11"/>
        <v>0</v>
      </c>
      <c r="P72" s="4">
        <f t="shared" si="8"/>
        <v>3</v>
      </c>
    </row>
    <row r="73" spans="1:16" x14ac:dyDescent="0.25">
      <c r="A73" t="s">
        <v>257</v>
      </c>
      <c r="B73" t="s">
        <v>35</v>
      </c>
      <c r="C73" t="s">
        <v>258</v>
      </c>
      <c r="D73" t="s">
        <v>259</v>
      </c>
      <c r="E73" t="s">
        <v>260</v>
      </c>
      <c r="F73" t="s">
        <v>261</v>
      </c>
      <c r="G73" t="s">
        <v>361</v>
      </c>
      <c r="H73" t="s">
        <v>359</v>
      </c>
      <c r="I73" s="2">
        <v>0.7</v>
      </c>
      <c r="J73" s="2">
        <v>0.7</v>
      </c>
      <c r="K73" s="2">
        <v>0</v>
      </c>
      <c r="L73" s="2">
        <v>0.7</v>
      </c>
      <c r="M73" s="4">
        <f t="shared" si="9"/>
        <v>3</v>
      </c>
      <c r="N73" s="4">
        <f t="shared" si="10"/>
        <v>3</v>
      </c>
      <c r="O73" s="4">
        <f t="shared" si="11"/>
        <v>0</v>
      </c>
      <c r="P73" s="4">
        <f t="shared" si="8"/>
        <v>3</v>
      </c>
    </row>
    <row r="74" spans="1:16" x14ac:dyDescent="0.25">
      <c r="A74" t="s">
        <v>328</v>
      </c>
      <c r="B74" t="s">
        <v>35</v>
      </c>
      <c r="C74" t="s">
        <v>329</v>
      </c>
      <c r="D74" t="s">
        <v>330</v>
      </c>
      <c r="E74" t="s">
        <v>331</v>
      </c>
      <c r="F74" t="s">
        <v>332</v>
      </c>
      <c r="G74" t="s">
        <v>361</v>
      </c>
      <c r="H74" t="s">
        <v>359</v>
      </c>
      <c r="I74" s="2">
        <v>0.7</v>
      </c>
      <c r="J74" s="2">
        <v>0.7</v>
      </c>
      <c r="K74" s="2">
        <v>0</v>
      </c>
      <c r="L74" s="2">
        <v>0.7</v>
      </c>
      <c r="M74" s="4">
        <f t="shared" si="9"/>
        <v>3</v>
      </c>
      <c r="N74" s="4">
        <f t="shared" si="10"/>
        <v>3</v>
      </c>
      <c r="O74" s="4">
        <f t="shared" si="11"/>
        <v>0</v>
      </c>
      <c r="P74" s="4">
        <f t="shared" si="8"/>
        <v>3</v>
      </c>
    </row>
    <row r="75" spans="1:16" x14ac:dyDescent="0.25">
      <c r="A75" t="s">
        <v>275</v>
      </c>
      <c r="B75" t="s">
        <v>35</v>
      </c>
      <c r="C75" t="s">
        <v>245</v>
      </c>
      <c r="D75" t="s">
        <v>24</v>
      </c>
      <c r="E75" t="s">
        <v>276</v>
      </c>
      <c r="F75" t="s">
        <v>248</v>
      </c>
      <c r="G75" t="s">
        <v>374</v>
      </c>
      <c r="H75" t="s">
        <v>362</v>
      </c>
      <c r="I75" s="2">
        <v>0.7</v>
      </c>
      <c r="J75" s="2">
        <v>0.7</v>
      </c>
      <c r="K75" s="2">
        <v>0</v>
      </c>
      <c r="L75" s="2">
        <v>0.7</v>
      </c>
      <c r="M75" s="4">
        <f t="shared" si="9"/>
        <v>3</v>
      </c>
      <c r="N75" s="4">
        <f t="shared" si="10"/>
        <v>3</v>
      </c>
      <c r="O75" s="4">
        <f t="shared" si="11"/>
        <v>0</v>
      </c>
      <c r="P75" s="4">
        <f t="shared" si="8"/>
        <v>3</v>
      </c>
    </row>
    <row r="76" spans="1:16" x14ac:dyDescent="0.25">
      <c r="A76" t="s">
        <v>262</v>
      </c>
      <c r="B76" t="s">
        <v>35</v>
      </c>
      <c r="C76" t="s">
        <v>263</v>
      </c>
      <c r="D76" t="s">
        <v>264</v>
      </c>
      <c r="E76" t="s">
        <v>208</v>
      </c>
      <c r="F76" t="s">
        <v>265</v>
      </c>
      <c r="G76" t="s">
        <v>372</v>
      </c>
      <c r="H76" t="s">
        <v>373</v>
      </c>
      <c r="I76" s="2">
        <v>0.7</v>
      </c>
      <c r="J76" s="2">
        <v>0.7</v>
      </c>
      <c r="K76" s="2">
        <v>0</v>
      </c>
      <c r="L76" s="2">
        <v>0.7</v>
      </c>
      <c r="M76" s="4">
        <f t="shared" si="9"/>
        <v>3</v>
      </c>
      <c r="N76" s="4">
        <f t="shared" si="10"/>
        <v>3</v>
      </c>
      <c r="O76" s="4">
        <f t="shared" si="11"/>
        <v>0</v>
      </c>
      <c r="P76" s="4">
        <f t="shared" si="8"/>
        <v>3</v>
      </c>
    </row>
    <row r="77" spans="1:16" x14ac:dyDescent="0.25">
      <c r="A77" t="s">
        <v>292</v>
      </c>
      <c r="B77" t="s">
        <v>35</v>
      </c>
      <c r="C77" t="s">
        <v>293</v>
      </c>
      <c r="D77" t="s">
        <v>294</v>
      </c>
      <c r="E77" t="s">
        <v>295</v>
      </c>
      <c r="F77" t="s">
        <v>296</v>
      </c>
      <c r="G77" t="s">
        <v>372</v>
      </c>
      <c r="H77" t="s">
        <v>373</v>
      </c>
      <c r="I77" s="2">
        <v>0.7</v>
      </c>
      <c r="J77" s="2">
        <v>0.7</v>
      </c>
      <c r="K77" s="2">
        <v>0</v>
      </c>
      <c r="L77" s="2">
        <v>0.7</v>
      </c>
      <c r="M77" s="4">
        <f t="shared" si="9"/>
        <v>3</v>
      </c>
      <c r="N77" s="4">
        <f t="shared" si="10"/>
        <v>3</v>
      </c>
      <c r="O77" s="4">
        <f t="shared" si="11"/>
        <v>0</v>
      </c>
      <c r="P77" s="4">
        <f t="shared" si="8"/>
        <v>3</v>
      </c>
    </row>
    <row r="78" spans="1:16" x14ac:dyDescent="0.25">
      <c r="A78" t="s">
        <v>297</v>
      </c>
      <c r="B78" t="s">
        <v>35</v>
      </c>
      <c r="C78" t="s">
        <v>293</v>
      </c>
      <c r="D78" t="s">
        <v>298</v>
      </c>
      <c r="E78" t="s">
        <v>295</v>
      </c>
      <c r="F78" t="s">
        <v>296</v>
      </c>
      <c r="G78" t="s">
        <v>372</v>
      </c>
      <c r="H78" t="s">
        <v>373</v>
      </c>
      <c r="I78" s="2">
        <v>0.7</v>
      </c>
      <c r="J78" s="2">
        <v>0.7</v>
      </c>
      <c r="K78" s="2">
        <v>0</v>
      </c>
      <c r="L78" s="2">
        <v>0.7</v>
      </c>
      <c r="M78" s="4">
        <f t="shared" si="9"/>
        <v>3</v>
      </c>
      <c r="N78" s="4">
        <f t="shared" si="10"/>
        <v>3</v>
      </c>
      <c r="O78" s="4">
        <f t="shared" si="11"/>
        <v>0</v>
      </c>
      <c r="P78" s="4">
        <f t="shared" ref="P78:P90" si="12">IF(L78=1,4,IF(L78=0.7,3,IF(L78=0.35,2,IF(L78=0.1,1,0))))</f>
        <v>3</v>
      </c>
    </row>
    <row r="79" spans="1:16" x14ac:dyDescent="0.25">
      <c r="A79" t="s">
        <v>266</v>
      </c>
      <c r="B79" t="s">
        <v>35</v>
      </c>
      <c r="C79" t="s">
        <v>267</v>
      </c>
      <c r="D79" t="s">
        <v>268</v>
      </c>
      <c r="E79" t="s">
        <v>269</v>
      </c>
      <c r="F79" t="s">
        <v>270</v>
      </c>
      <c r="G79" t="s">
        <v>372</v>
      </c>
      <c r="H79" t="s">
        <v>373</v>
      </c>
      <c r="I79" s="2">
        <v>0.7</v>
      </c>
      <c r="J79" s="2">
        <v>0.7</v>
      </c>
      <c r="K79" s="2">
        <v>0.35</v>
      </c>
      <c r="L79" s="2">
        <v>0.7</v>
      </c>
      <c r="M79" s="4">
        <f t="shared" si="9"/>
        <v>3</v>
      </c>
      <c r="N79" s="4">
        <f t="shared" si="10"/>
        <v>3</v>
      </c>
      <c r="O79" s="4">
        <f t="shared" si="11"/>
        <v>2</v>
      </c>
      <c r="P79" s="4">
        <f t="shared" si="12"/>
        <v>3</v>
      </c>
    </row>
    <row r="80" spans="1:16" x14ac:dyDescent="0.25">
      <c r="A80" t="s">
        <v>207</v>
      </c>
      <c r="B80" t="s">
        <v>35</v>
      </c>
      <c r="C80" t="s">
        <v>171</v>
      </c>
      <c r="D80" t="s">
        <v>22</v>
      </c>
      <c r="E80" t="s">
        <v>208</v>
      </c>
      <c r="F80" t="s">
        <v>173</v>
      </c>
      <c r="G80" t="s">
        <v>372</v>
      </c>
      <c r="H80" t="s">
        <v>373</v>
      </c>
      <c r="I80" s="2">
        <v>0.7</v>
      </c>
      <c r="J80" s="2">
        <v>0.7</v>
      </c>
      <c r="K80" s="2">
        <v>0</v>
      </c>
      <c r="L80" s="2">
        <v>0.7</v>
      </c>
      <c r="M80" s="4">
        <f t="shared" si="9"/>
        <v>3</v>
      </c>
      <c r="N80" s="4">
        <f t="shared" si="10"/>
        <v>3</v>
      </c>
      <c r="O80" s="4">
        <f t="shared" si="11"/>
        <v>0</v>
      </c>
      <c r="P80" s="4">
        <f t="shared" si="12"/>
        <v>3</v>
      </c>
    </row>
    <row r="81" spans="1:16" x14ac:dyDescent="0.25">
      <c r="A81" t="s">
        <v>299</v>
      </c>
      <c r="B81" t="s">
        <v>35</v>
      </c>
      <c r="C81" t="s">
        <v>180</v>
      </c>
      <c r="D81" t="s">
        <v>300</v>
      </c>
      <c r="E81" t="s">
        <v>301</v>
      </c>
      <c r="F81" t="s">
        <v>183</v>
      </c>
      <c r="G81" t="s">
        <v>372</v>
      </c>
      <c r="H81" t="s">
        <v>373</v>
      </c>
      <c r="I81" s="2">
        <v>0.7</v>
      </c>
      <c r="J81" s="2">
        <v>0.7</v>
      </c>
      <c r="K81" s="2">
        <v>0</v>
      </c>
      <c r="L81" s="2">
        <v>0.7</v>
      </c>
      <c r="M81" s="4">
        <f t="shared" si="9"/>
        <v>3</v>
      </c>
      <c r="N81" s="4">
        <f t="shared" si="10"/>
        <v>3</v>
      </c>
      <c r="O81" s="4">
        <f t="shared" si="11"/>
        <v>0</v>
      </c>
      <c r="P81" s="4">
        <f t="shared" si="12"/>
        <v>3</v>
      </c>
    </row>
    <row r="82" spans="1:16" x14ac:dyDescent="0.25">
      <c r="A82" t="s">
        <v>346</v>
      </c>
      <c r="B82" t="s">
        <v>35</v>
      </c>
      <c r="C82" t="s">
        <v>42</v>
      </c>
      <c r="D82" t="s">
        <v>347</v>
      </c>
      <c r="E82" t="s">
        <v>348</v>
      </c>
      <c r="F82" t="s">
        <v>45</v>
      </c>
      <c r="G82" t="s">
        <v>368</v>
      </c>
      <c r="H82" t="s">
        <v>362</v>
      </c>
      <c r="I82" s="2">
        <v>1</v>
      </c>
      <c r="J82" s="2">
        <v>0.7</v>
      </c>
      <c r="K82" s="2">
        <v>0</v>
      </c>
      <c r="L82" s="2">
        <v>0.35</v>
      </c>
      <c r="M82" s="4">
        <f t="shared" si="9"/>
        <v>4</v>
      </c>
      <c r="N82" s="4">
        <f t="shared" si="10"/>
        <v>3</v>
      </c>
      <c r="O82" s="4">
        <f t="shared" si="11"/>
        <v>0</v>
      </c>
      <c r="P82" s="4">
        <f t="shared" si="12"/>
        <v>2</v>
      </c>
    </row>
    <row r="83" spans="1:16" x14ac:dyDescent="0.25">
      <c r="A83" t="s">
        <v>193</v>
      </c>
      <c r="B83" t="s">
        <v>35</v>
      </c>
      <c r="C83" t="s">
        <v>37</v>
      </c>
      <c r="D83" t="s">
        <v>194</v>
      </c>
      <c r="E83" t="s">
        <v>195</v>
      </c>
      <c r="F83" t="s">
        <v>81</v>
      </c>
      <c r="G83" t="s">
        <v>370</v>
      </c>
      <c r="H83" t="s">
        <v>367</v>
      </c>
      <c r="I83" s="2">
        <v>1</v>
      </c>
      <c r="J83" s="2">
        <v>0.7</v>
      </c>
      <c r="K83" s="2">
        <v>0</v>
      </c>
      <c r="L83" s="2">
        <v>0.35</v>
      </c>
      <c r="M83" s="4">
        <f t="shared" si="9"/>
        <v>4</v>
      </c>
      <c r="N83" s="4">
        <f t="shared" si="10"/>
        <v>3</v>
      </c>
      <c r="O83" s="4">
        <f t="shared" si="11"/>
        <v>0</v>
      </c>
      <c r="P83" s="4">
        <f t="shared" si="12"/>
        <v>2</v>
      </c>
    </row>
    <row r="84" spans="1:16" x14ac:dyDescent="0.25">
      <c r="A84" t="s">
        <v>271</v>
      </c>
      <c r="B84" t="s">
        <v>35</v>
      </c>
      <c r="C84" t="s">
        <v>272</v>
      </c>
      <c r="D84" t="s">
        <v>31</v>
      </c>
      <c r="E84" t="s">
        <v>273</v>
      </c>
      <c r="F84" t="s">
        <v>274</v>
      </c>
      <c r="G84" t="s">
        <v>361</v>
      </c>
      <c r="H84" t="s">
        <v>359</v>
      </c>
      <c r="I84" s="2">
        <v>0.7</v>
      </c>
      <c r="J84" s="2">
        <v>0.7</v>
      </c>
      <c r="K84" s="2">
        <v>0</v>
      </c>
      <c r="L84" s="2">
        <v>0.7</v>
      </c>
      <c r="M84" s="4">
        <f t="shared" si="9"/>
        <v>3</v>
      </c>
      <c r="N84" s="4">
        <f t="shared" si="10"/>
        <v>3</v>
      </c>
      <c r="O84" s="4">
        <f t="shared" si="11"/>
        <v>0</v>
      </c>
      <c r="P84" s="4">
        <f t="shared" si="12"/>
        <v>3</v>
      </c>
    </row>
    <row r="85" spans="1:16" x14ac:dyDescent="0.25">
      <c r="A85" t="s">
        <v>333</v>
      </c>
      <c r="B85" t="s">
        <v>35</v>
      </c>
      <c r="C85" t="s">
        <v>64</v>
      </c>
      <c r="D85" t="s">
        <v>334</v>
      </c>
      <c r="E85" t="s">
        <v>335</v>
      </c>
      <c r="F85" t="s">
        <v>67</v>
      </c>
      <c r="G85" t="s">
        <v>372</v>
      </c>
      <c r="H85" t="s">
        <v>373</v>
      </c>
      <c r="I85" s="2">
        <v>0.7</v>
      </c>
      <c r="J85" s="2">
        <v>0.7</v>
      </c>
      <c r="K85" s="2">
        <v>0</v>
      </c>
      <c r="L85" s="2">
        <v>0.35</v>
      </c>
      <c r="M85" s="4">
        <f t="shared" si="9"/>
        <v>3</v>
      </c>
      <c r="N85" s="4">
        <f t="shared" si="10"/>
        <v>3</v>
      </c>
      <c r="O85" s="4">
        <f t="shared" si="11"/>
        <v>0</v>
      </c>
      <c r="P85" s="4">
        <f t="shared" si="12"/>
        <v>2</v>
      </c>
    </row>
    <row r="86" spans="1:16" x14ac:dyDescent="0.25">
      <c r="A86" t="s">
        <v>277</v>
      </c>
      <c r="B86" t="s">
        <v>35</v>
      </c>
      <c r="C86" t="s">
        <v>154</v>
      </c>
      <c r="D86" t="s">
        <v>278</v>
      </c>
      <c r="E86" t="s">
        <v>279</v>
      </c>
      <c r="F86" t="s">
        <v>157</v>
      </c>
      <c r="G86" t="s">
        <v>372</v>
      </c>
      <c r="H86" t="s">
        <v>359</v>
      </c>
      <c r="I86" s="2">
        <v>0.7</v>
      </c>
      <c r="J86" s="2">
        <v>0.7</v>
      </c>
      <c r="K86" s="2">
        <v>0</v>
      </c>
      <c r="L86" s="2">
        <v>0.35</v>
      </c>
      <c r="M86" s="4">
        <f t="shared" si="9"/>
        <v>3</v>
      </c>
      <c r="N86" s="4">
        <f t="shared" si="10"/>
        <v>3</v>
      </c>
      <c r="O86" s="4">
        <f t="shared" si="11"/>
        <v>0</v>
      </c>
      <c r="P86" s="4">
        <f t="shared" si="12"/>
        <v>2</v>
      </c>
    </row>
    <row r="87" spans="1:16" x14ac:dyDescent="0.25">
      <c r="A87" t="s">
        <v>302</v>
      </c>
      <c r="B87" t="s">
        <v>35</v>
      </c>
      <c r="C87" t="s">
        <v>303</v>
      </c>
      <c r="D87" t="s">
        <v>304</v>
      </c>
      <c r="E87" t="s">
        <v>305</v>
      </c>
      <c r="F87" t="s">
        <v>306</v>
      </c>
      <c r="G87" t="s">
        <v>374</v>
      </c>
      <c r="H87" t="s">
        <v>359</v>
      </c>
      <c r="I87" s="2">
        <v>0.7</v>
      </c>
      <c r="J87" s="2">
        <v>0.7</v>
      </c>
      <c r="K87" s="2">
        <v>0</v>
      </c>
      <c r="L87" s="2">
        <v>0.35</v>
      </c>
      <c r="M87" s="4">
        <f t="shared" si="9"/>
        <v>3</v>
      </c>
      <c r="N87" s="4">
        <f t="shared" si="10"/>
        <v>3</v>
      </c>
      <c r="O87" s="4">
        <f t="shared" si="11"/>
        <v>0</v>
      </c>
      <c r="P87" s="4">
        <f t="shared" si="12"/>
        <v>2</v>
      </c>
    </row>
    <row r="88" spans="1:16" x14ac:dyDescent="0.25">
      <c r="A88" t="s">
        <v>339</v>
      </c>
      <c r="B88" t="s">
        <v>35</v>
      </c>
      <c r="C88" t="s">
        <v>263</v>
      </c>
      <c r="D88" t="s">
        <v>340</v>
      </c>
      <c r="E88" t="s">
        <v>341</v>
      </c>
      <c r="F88" t="s">
        <v>265</v>
      </c>
      <c r="G88" t="s">
        <v>366</v>
      </c>
      <c r="H88" t="s">
        <v>359</v>
      </c>
      <c r="I88" s="2">
        <v>0.7</v>
      </c>
      <c r="J88" s="2">
        <v>0.7</v>
      </c>
      <c r="K88" s="2">
        <v>0</v>
      </c>
      <c r="L88" s="2">
        <v>0.35</v>
      </c>
      <c r="M88" s="4">
        <f t="shared" si="9"/>
        <v>3</v>
      </c>
      <c r="N88" s="4">
        <f t="shared" si="10"/>
        <v>3</v>
      </c>
      <c r="O88" s="4">
        <f t="shared" si="11"/>
        <v>0</v>
      </c>
      <c r="P88" s="4">
        <f t="shared" si="12"/>
        <v>2</v>
      </c>
    </row>
    <row r="89" spans="1:16" x14ac:dyDescent="0.25">
      <c r="A89" t="s">
        <v>342</v>
      </c>
      <c r="B89" t="s">
        <v>35</v>
      </c>
      <c r="C89" t="s">
        <v>343</v>
      </c>
      <c r="D89" t="s">
        <v>140</v>
      </c>
      <c r="E89" t="s">
        <v>344</v>
      </c>
      <c r="F89" t="s">
        <v>345</v>
      </c>
      <c r="G89" t="s">
        <v>372</v>
      </c>
      <c r="H89" t="s">
        <v>359</v>
      </c>
      <c r="I89" s="2">
        <v>0.7</v>
      </c>
      <c r="J89" s="2">
        <v>0.7</v>
      </c>
      <c r="K89" s="2">
        <v>0</v>
      </c>
      <c r="L89" s="2">
        <v>0.35</v>
      </c>
      <c r="M89" s="4">
        <f t="shared" si="9"/>
        <v>3</v>
      </c>
      <c r="N89" s="4">
        <f t="shared" si="10"/>
        <v>3</v>
      </c>
      <c r="O89" s="4">
        <f t="shared" si="11"/>
        <v>0</v>
      </c>
      <c r="P89" s="4">
        <f t="shared" si="12"/>
        <v>2</v>
      </c>
    </row>
    <row r="90" spans="1:16" x14ac:dyDescent="0.25">
      <c r="A90" t="s">
        <v>336</v>
      </c>
      <c r="B90" t="s">
        <v>35</v>
      </c>
      <c r="C90" t="s">
        <v>229</v>
      </c>
      <c r="D90" t="s">
        <v>337</v>
      </c>
      <c r="E90" t="s">
        <v>338</v>
      </c>
      <c r="F90" t="s">
        <v>232</v>
      </c>
      <c r="G90" t="s">
        <v>361</v>
      </c>
      <c r="H90" t="s">
        <v>359</v>
      </c>
      <c r="I90" s="2">
        <v>0.7</v>
      </c>
      <c r="J90" s="2">
        <v>0.35</v>
      </c>
      <c r="K90" s="2">
        <v>0</v>
      </c>
      <c r="L90" s="2">
        <v>0.1</v>
      </c>
      <c r="M90" s="4">
        <f t="shared" si="9"/>
        <v>3</v>
      </c>
      <c r="N90" s="4">
        <f t="shared" si="10"/>
        <v>2</v>
      </c>
      <c r="O90" s="4">
        <f t="shared" si="11"/>
        <v>0</v>
      </c>
      <c r="P90" s="4">
        <f t="shared" si="12"/>
        <v>1</v>
      </c>
    </row>
    <row r="91" spans="1:16" x14ac:dyDescent="0.25">
      <c r="A91" t="s">
        <v>349</v>
      </c>
      <c r="B91" t="s">
        <v>35</v>
      </c>
      <c r="C91" t="s">
        <v>350</v>
      </c>
      <c r="D91" t="s">
        <v>351</v>
      </c>
      <c r="E91" t="s">
        <v>208</v>
      </c>
      <c r="F91" t="s">
        <v>352</v>
      </c>
      <c r="G91" t="s">
        <v>372</v>
      </c>
      <c r="H91" t="s">
        <v>373</v>
      </c>
      <c r="I91" s="2">
        <v>0.35</v>
      </c>
      <c r="J91" s="2">
        <v>0.1</v>
      </c>
      <c r="K91" s="2">
        <v>0</v>
      </c>
      <c r="L91" s="2">
        <v>0.35</v>
      </c>
      <c r="M91" s="4">
        <f t="shared" si="9"/>
        <v>2</v>
      </c>
      <c r="N91" s="4">
        <f t="shared" si="10"/>
        <v>1</v>
      </c>
      <c r="O91" s="4">
        <f t="shared" si="11"/>
        <v>0</v>
      </c>
      <c r="P91" s="4">
        <f t="shared" ref="P91" si="13">IF(L91=1,4,IF(L91=0.7,3,IF(L91=0.35,2,IF(L91=0.1,1,0))))</f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1"/>
  <sheetViews>
    <sheetView workbookViewId="0">
      <pane ySplit="1" topLeftCell="A2" activePane="bottomLeft" state="frozen"/>
      <selection pane="bottomLeft" activeCell="G1" sqref="G1:H1"/>
    </sheetView>
  </sheetViews>
  <sheetFormatPr defaultColWidth="26.28515625" defaultRowHeight="15" x14ac:dyDescent="0.25"/>
  <cols>
    <col min="1" max="1" width="12.5703125" bestFit="1" customWidth="1"/>
    <col min="2" max="2" width="10.5703125" bestFit="1" customWidth="1"/>
    <col min="3" max="3" width="7.5703125" bestFit="1" customWidth="1"/>
    <col min="4" max="4" width="6.140625" bestFit="1" customWidth="1"/>
    <col min="5" max="5" width="61.42578125" bestFit="1" customWidth="1"/>
    <col min="6" max="6" width="48" bestFit="1" customWidth="1"/>
    <col min="7" max="8" width="36.5703125" customWidth="1"/>
    <col min="9" max="12" width="17.7109375" customWidth="1"/>
    <col min="13" max="16" width="10.7109375" customWidth="1"/>
  </cols>
  <sheetData>
    <row r="1" spans="1:16" x14ac:dyDescent="0.25">
      <c r="A1" s="6" t="s">
        <v>353</v>
      </c>
      <c r="B1" s="6" t="s">
        <v>354</v>
      </c>
      <c r="C1" s="6" t="s">
        <v>32</v>
      </c>
      <c r="D1" s="6" t="s">
        <v>9</v>
      </c>
      <c r="E1" s="6" t="s">
        <v>33</v>
      </c>
      <c r="F1" s="6" t="s">
        <v>34</v>
      </c>
      <c r="G1" s="6" t="s">
        <v>355</v>
      </c>
      <c r="H1" s="6" t="s">
        <v>356</v>
      </c>
      <c r="I1" s="1" t="s">
        <v>0</v>
      </c>
      <c r="J1" s="1" t="s">
        <v>1</v>
      </c>
      <c r="K1" s="1" t="s">
        <v>2</v>
      </c>
      <c r="L1" s="1" t="s">
        <v>3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 x14ac:dyDescent="0.25">
      <c r="A2" t="s">
        <v>167</v>
      </c>
      <c r="B2" t="s">
        <v>35</v>
      </c>
      <c r="C2" t="s">
        <v>37</v>
      </c>
      <c r="D2" t="s">
        <v>168</v>
      </c>
      <c r="E2" t="s">
        <v>169</v>
      </c>
      <c r="F2" t="s">
        <v>40</v>
      </c>
      <c r="G2" t="s">
        <v>363</v>
      </c>
      <c r="H2" t="s">
        <v>357</v>
      </c>
      <c r="I2" s="2">
        <v>1</v>
      </c>
      <c r="J2" s="2">
        <v>1</v>
      </c>
      <c r="K2" s="2">
        <v>0</v>
      </c>
      <c r="L2" s="2">
        <v>1</v>
      </c>
      <c r="M2" s="4">
        <f t="shared" ref="M2:M33" si="0">IF(I2=1,4,IF(I2=0.7,3,IF(I2=0.35,2,IF(I2=0.1,1,0))))</f>
        <v>4</v>
      </c>
      <c r="N2" s="4">
        <f t="shared" ref="N2:N33" si="1">IF(J2=1,4,IF(J2=0.7,3,IF(J2=0.35,2,IF(J2=0.1,1,0))))</f>
        <v>4</v>
      </c>
      <c r="O2" s="4">
        <f t="shared" ref="O2:O33" si="2">IF(K2=1,4,IF(K2=0.7,3,IF(K2=0.35,2,IF(K2=0.1,1,0))))</f>
        <v>0</v>
      </c>
      <c r="P2" s="4">
        <f t="shared" ref="P2:P36" si="3">IF(L2=1,4,IF(L2=0.7,3,IF(L2=0.35,2,IF(L2=0.1,1,0))))</f>
        <v>4</v>
      </c>
    </row>
    <row r="3" spans="1:16" x14ac:dyDescent="0.25">
      <c r="A3" t="s">
        <v>125</v>
      </c>
      <c r="B3" t="s">
        <v>35</v>
      </c>
      <c r="C3" t="s">
        <v>126</v>
      </c>
      <c r="D3" t="s">
        <v>70</v>
      </c>
      <c r="E3" t="s">
        <v>127</v>
      </c>
      <c r="F3" t="s">
        <v>128</v>
      </c>
      <c r="G3" t="s">
        <v>370</v>
      </c>
      <c r="H3" t="s">
        <v>371</v>
      </c>
      <c r="I3" s="2">
        <v>1</v>
      </c>
      <c r="J3" s="2">
        <v>1</v>
      </c>
      <c r="K3" s="2">
        <v>0</v>
      </c>
      <c r="L3" s="2">
        <v>1</v>
      </c>
      <c r="M3" s="4">
        <f t="shared" si="0"/>
        <v>4</v>
      </c>
      <c r="N3" s="4">
        <f t="shared" si="1"/>
        <v>4</v>
      </c>
      <c r="O3" s="4">
        <f t="shared" si="2"/>
        <v>0</v>
      </c>
      <c r="P3" s="4">
        <f t="shared" si="3"/>
        <v>4</v>
      </c>
    </row>
    <row r="4" spans="1:16" x14ac:dyDescent="0.25">
      <c r="A4" t="s">
        <v>36</v>
      </c>
      <c r="B4" t="s">
        <v>35</v>
      </c>
      <c r="C4" t="s">
        <v>37</v>
      </c>
      <c r="D4" t="s">
        <v>38</v>
      </c>
      <c r="E4" t="s">
        <v>39</v>
      </c>
      <c r="F4" t="s">
        <v>40</v>
      </c>
      <c r="G4" t="s">
        <v>360</v>
      </c>
      <c r="H4" t="s">
        <v>357</v>
      </c>
      <c r="I4" s="2">
        <v>1</v>
      </c>
      <c r="J4" s="2">
        <v>1</v>
      </c>
      <c r="K4" s="2">
        <v>0</v>
      </c>
      <c r="L4" s="2">
        <v>1</v>
      </c>
      <c r="M4" s="4">
        <f t="shared" si="0"/>
        <v>4</v>
      </c>
      <c r="N4" s="4">
        <f t="shared" si="1"/>
        <v>4</v>
      </c>
      <c r="O4" s="4">
        <f t="shared" si="2"/>
        <v>0</v>
      </c>
      <c r="P4" s="4">
        <f t="shared" si="3"/>
        <v>4</v>
      </c>
    </row>
    <row r="5" spans="1:16" x14ac:dyDescent="0.25">
      <c r="A5" t="s">
        <v>41</v>
      </c>
      <c r="B5" t="s">
        <v>35</v>
      </c>
      <c r="C5" t="s">
        <v>42</v>
      </c>
      <c r="D5" t="s">
        <v>43</v>
      </c>
      <c r="E5" t="s">
        <v>44</v>
      </c>
      <c r="F5" t="s">
        <v>45</v>
      </c>
      <c r="G5" t="s">
        <v>360</v>
      </c>
      <c r="H5" t="s">
        <v>359</v>
      </c>
      <c r="I5" s="2">
        <v>1</v>
      </c>
      <c r="J5" s="2">
        <v>1</v>
      </c>
      <c r="K5" s="2">
        <v>0</v>
      </c>
      <c r="L5" s="2">
        <v>1</v>
      </c>
      <c r="M5" s="4">
        <f t="shared" si="0"/>
        <v>4</v>
      </c>
      <c r="N5" s="4">
        <f t="shared" si="1"/>
        <v>4</v>
      </c>
      <c r="O5" s="4">
        <f t="shared" si="2"/>
        <v>0</v>
      </c>
      <c r="P5" s="4">
        <f t="shared" si="3"/>
        <v>4</v>
      </c>
    </row>
    <row r="6" spans="1:16" x14ac:dyDescent="0.25">
      <c r="A6" t="s">
        <v>46</v>
      </c>
      <c r="B6" t="s">
        <v>35</v>
      </c>
      <c r="C6" t="s">
        <v>47</v>
      </c>
      <c r="D6" t="s">
        <v>48</v>
      </c>
      <c r="E6" t="s">
        <v>49</v>
      </c>
      <c r="F6" t="s">
        <v>50</v>
      </c>
      <c r="G6" t="s">
        <v>361</v>
      </c>
      <c r="H6" t="s">
        <v>359</v>
      </c>
      <c r="I6" s="2">
        <v>1</v>
      </c>
      <c r="J6" s="2">
        <v>1</v>
      </c>
      <c r="K6" s="2">
        <v>0</v>
      </c>
      <c r="L6" s="2">
        <v>1</v>
      </c>
      <c r="M6" s="4">
        <f t="shared" si="0"/>
        <v>4</v>
      </c>
      <c r="N6" s="4">
        <f t="shared" si="1"/>
        <v>4</v>
      </c>
      <c r="O6" s="4">
        <f t="shared" si="2"/>
        <v>0</v>
      </c>
      <c r="P6" s="4">
        <f t="shared" si="3"/>
        <v>4</v>
      </c>
    </row>
    <row r="7" spans="1:16" x14ac:dyDescent="0.25">
      <c r="A7" t="s">
        <v>51</v>
      </c>
      <c r="B7" t="s">
        <v>35</v>
      </c>
      <c r="C7" t="s">
        <v>37</v>
      </c>
      <c r="D7" t="s">
        <v>52</v>
      </c>
      <c r="E7" t="s">
        <v>53</v>
      </c>
      <c r="F7" t="s">
        <v>40</v>
      </c>
      <c r="G7" t="s">
        <v>360</v>
      </c>
      <c r="H7" t="s">
        <v>357</v>
      </c>
      <c r="I7" s="2">
        <v>1</v>
      </c>
      <c r="J7" s="2">
        <v>1</v>
      </c>
      <c r="K7" s="2">
        <v>0</v>
      </c>
      <c r="L7" s="2">
        <v>1</v>
      </c>
      <c r="M7" s="4">
        <f t="shared" si="0"/>
        <v>4</v>
      </c>
      <c r="N7" s="4">
        <f t="shared" si="1"/>
        <v>4</v>
      </c>
      <c r="O7" s="4">
        <f t="shared" si="2"/>
        <v>0</v>
      </c>
      <c r="P7" s="4">
        <f t="shared" si="3"/>
        <v>4</v>
      </c>
    </row>
    <row r="8" spans="1:16" x14ac:dyDescent="0.25">
      <c r="A8" t="s">
        <v>54</v>
      </c>
      <c r="B8" t="s">
        <v>35</v>
      </c>
      <c r="C8" t="s">
        <v>42</v>
      </c>
      <c r="D8" t="s">
        <v>55</v>
      </c>
      <c r="E8" t="s">
        <v>56</v>
      </c>
      <c r="F8" t="s">
        <v>45</v>
      </c>
      <c r="G8" t="s">
        <v>360</v>
      </c>
      <c r="H8" t="s">
        <v>362</v>
      </c>
      <c r="I8" s="2">
        <v>1</v>
      </c>
      <c r="J8" s="2">
        <v>1</v>
      </c>
      <c r="K8" s="2">
        <v>0.1</v>
      </c>
      <c r="L8" s="2">
        <v>1</v>
      </c>
      <c r="M8" s="4">
        <f t="shared" si="0"/>
        <v>4</v>
      </c>
      <c r="N8" s="4">
        <f t="shared" si="1"/>
        <v>4</v>
      </c>
      <c r="O8" s="4">
        <f t="shared" si="2"/>
        <v>1</v>
      </c>
      <c r="P8" s="4">
        <f t="shared" si="3"/>
        <v>4</v>
      </c>
    </row>
    <row r="9" spans="1:16" x14ac:dyDescent="0.25">
      <c r="A9" t="s">
        <v>57</v>
      </c>
      <c r="B9" t="s">
        <v>35</v>
      </c>
      <c r="C9" t="s">
        <v>42</v>
      </c>
      <c r="D9" t="s">
        <v>58</v>
      </c>
      <c r="E9" t="s">
        <v>59</v>
      </c>
      <c r="F9" t="s">
        <v>45</v>
      </c>
      <c r="G9" t="s">
        <v>360</v>
      </c>
      <c r="H9" t="s">
        <v>359</v>
      </c>
      <c r="I9" s="2">
        <v>1</v>
      </c>
      <c r="J9" s="2">
        <v>1</v>
      </c>
      <c r="K9" s="2">
        <v>0.1</v>
      </c>
      <c r="L9" s="2">
        <v>1</v>
      </c>
      <c r="M9" s="4">
        <f t="shared" si="0"/>
        <v>4</v>
      </c>
      <c r="N9" s="4">
        <f t="shared" si="1"/>
        <v>4</v>
      </c>
      <c r="O9" s="4">
        <f t="shared" si="2"/>
        <v>1</v>
      </c>
      <c r="P9" s="4">
        <f t="shared" si="3"/>
        <v>4</v>
      </c>
    </row>
    <row r="10" spans="1:16" x14ac:dyDescent="0.25">
      <c r="A10" t="s">
        <v>60</v>
      </c>
      <c r="B10" t="s">
        <v>35</v>
      </c>
      <c r="C10" t="s">
        <v>42</v>
      </c>
      <c r="D10" t="s">
        <v>61</v>
      </c>
      <c r="E10" t="s">
        <v>62</v>
      </c>
      <c r="F10" t="s">
        <v>45</v>
      </c>
      <c r="G10" t="s">
        <v>360</v>
      </c>
      <c r="H10" t="s">
        <v>359</v>
      </c>
      <c r="I10" s="2">
        <v>1</v>
      </c>
      <c r="J10" s="2">
        <v>1</v>
      </c>
      <c r="K10" s="2">
        <v>0.1</v>
      </c>
      <c r="L10" s="2">
        <v>1</v>
      </c>
      <c r="M10" s="4">
        <f t="shared" si="0"/>
        <v>4</v>
      </c>
      <c r="N10" s="4">
        <f t="shared" si="1"/>
        <v>4</v>
      </c>
      <c r="O10" s="4">
        <f t="shared" si="2"/>
        <v>1</v>
      </c>
      <c r="P10" s="4">
        <f t="shared" si="3"/>
        <v>4</v>
      </c>
    </row>
    <row r="11" spans="1:16" x14ac:dyDescent="0.25">
      <c r="A11" t="s">
        <v>63</v>
      </c>
      <c r="B11" t="s">
        <v>35</v>
      </c>
      <c r="C11" t="s">
        <v>64</v>
      </c>
      <c r="D11" t="s">
        <v>65</v>
      </c>
      <c r="E11" t="s">
        <v>66</v>
      </c>
      <c r="F11" t="s">
        <v>67</v>
      </c>
      <c r="G11" t="s">
        <v>363</v>
      </c>
      <c r="H11" t="s">
        <v>362</v>
      </c>
      <c r="I11" s="2">
        <v>1</v>
      </c>
      <c r="J11" s="2">
        <v>1</v>
      </c>
      <c r="K11" s="2">
        <v>0</v>
      </c>
      <c r="L11" s="2">
        <v>1</v>
      </c>
      <c r="M11" s="4">
        <f t="shared" si="0"/>
        <v>4</v>
      </c>
      <c r="N11" s="4">
        <f t="shared" si="1"/>
        <v>4</v>
      </c>
      <c r="O11" s="4">
        <f t="shared" si="2"/>
        <v>0</v>
      </c>
      <c r="P11" s="4">
        <f t="shared" si="3"/>
        <v>4</v>
      </c>
    </row>
    <row r="12" spans="1:16" x14ac:dyDescent="0.25">
      <c r="A12" t="s">
        <v>129</v>
      </c>
      <c r="B12" t="s">
        <v>35</v>
      </c>
      <c r="C12" t="s">
        <v>130</v>
      </c>
      <c r="D12" t="s">
        <v>131</v>
      </c>
      <c r="E12" t="s">
        <v>132</v>
      </c>
      <c r="F12" t="s">
        <v>133</v>
      </c>
      <c r="G12" t="s">
        <v>364</v>
      </c>
      <c r="H12" t="s">
        <v>359</v>
      </c>
      <c r="I12" s="2">
        <v>1</v>
      </c>
      <c r="J12" s="2">
        <v>1</v>
      </c>
      <c r="K12" s="2">
        <v>0</v>
      </c>
      <c r="L12" s="2">
        <v>1</v>
      </c>
      <c r="M12" s="4">
        <f t="shared" si="0"/>
        <v>4</v>
      </c>
      <c r="N12" s="4">
        <f t="shared" si="1"/>
        <v>4</v>
      </c>
      <c r="O12" s="4">
        <f t="shared" si="2"/>
        <v>0</v>
      </c>
      <c r="P12" s="4">
        <f t="shared" si="3"/>
        <v>4</v>
      </c>
    </row>
    <row r="13" spans="1:16" x14ac:dyDescent="0.25">
      <c r="A13" t="s">
        <v>68</v>
      </c>
      <c r="B13" t="s">
        <v>35</v>
      </c>
      <c r="C13" t="s">
        <v>69</v>
      </c>
      <c r="D13" t="s">
        <v>70</v>
      </c>
      <c r="E13" t="s">
        <v>71</v>
      </c>
      <c r="F13" t="s">
        <v>72</v>
      </c>
      <c r="G13" t="s">
        <v>364</v>
      </c>
      <c r="H13" t="s">
        <v>365</v>
      </c>
      <c r="I13" s="2">
        <v>1</v>
      </c>
      <c r="J13" s="2">
        <v>1</v>
      </c>
      <c r="K13" s="2">
        <v>0</v>
      </c>
      <c r="L13" s="2">
        <v>1</v>
      </c>
      <c r="M13" s="4">
        <f t="shared" si="0"/>
        <v>4</v>
      </c>
      <c r="N13" s="4">
        <f t="shared" si="1"/>
        <v>4</v>
      </c>
      <c r="O13" s="4">
        <f t="shared" si="2"/>
        <v>0</v>
      </c>
      <c r="P13" s="4">
        <f t="shared" si="3"/>
        <v>4</v>
      </c>
    </row>
    <row r="14" spans="1:16" x14ac:dyDescent="0.25">
      <c r="A14" t="s">
        <v>138</v>
      </c>
      <c r="B14" t="s">
        <v>35</v>
      </c>
      <c r="C14" t="s">
        <v>139</v>
      </c>
      <c r="D14" t="s">
        <v>140</v>
      </c>
      <c r="E14" t="s">
        <v>141</v>
      </c>
      <c r="F14" t="s">
        <v>142</v>
      </c>
      <c r="G14" t="s">
        <v>366</v>
      </c>
      <c r="H14" t="s">
        <v>359</v>
      </c>
      <c r="I14" s="2">
        <v>1</v>
      </c>
      <c r="J14" s="2">
        <v>1</v>
      </c>
      <c r="K14" s="2">
        <v>0</v>
      </c>
      <c r="L14" s="2">
        <v>1</v>
      </c>
      <c r="M14" s="4">
        <f t="shared" si="0"/>
        <v>4</v>
      </c>
      <c r="N14" s="4">
        <f t="shared" si="1"/>
        <v>4</v>
      </c>
      <c r="O14" s="4">
        <f t="shared" si="2"/>
        <v>0</v>
      </c>
      <c r="P14" s="4">
        <f t="shared" si="3"/>
        <v>4</v>
      </c>
    </row>
    <row r="15" spans="1:16" x14ac:dyDescent="0.25">
      <c r="A15" t="s">
        <v>73</v>
      </c>
      <c r="B15" t="s">
        <v>35</v>
      </c>
      <c r="C15" t="s">
        <v>74</v>
      </c>
      <c r="D15" t="s">
        <v>75</v>
      </c>
      <c r="E15" t="s">
        <v>76</v>
      </c>
      <c r="F15" t="s">
        <v>77</v>
      </c>
      <c r="G15" t="s">
        <v>360</v>
      </c>
      <c r="H15" t="s">
        <v>357</v>
      </c>
      <c r="I15" s="2">
        <v>1</v>
      </c>
      <c r="J15" s="2">
        <v>1</v>
      </c>
      <c r="K15" s="2">
        <v>0</v>
      </c>
      <c r="L15" s="2">
        <v>1</v>
      </c>
      <c r="M15" s="4">
        <f t="shared" si="0"/>
        <v>4</v>
      </c>
      <c r="N15" s="4">
        <f t="shared" si="1"/>
        <v>4</v>
      </c>
      <c r="O15" s="4">
        <f t="shared" si="2"/>
        <v>0</v>
      </c>
      <c r="P15" s="4">
        <f t="shared" si="3"/>
        <v>4</v>
      </c>
    </row>
    <row r="16" spans="1:16" x14ac:dyDescent="0.25">
      <c r="A16" t="s">
        <v>145</v>
      </c>
      <c r="B16" t="s">
        <v>35</v>
      </c>
      <c r="C16" t="s">
        <v>146</v>
      </c>
      <c r="D16" t="s">
        <v>147</v>
      </c>
      <c r="E16" t="s">
        <v>148</v>
      </c>
      <c r="F16" t="s">
        <v>149</v>
      </c>
      <c r="G16" t="s">
        <v>366</v>
      </c>
      <c r="H16" t="s">
        <v>359</v>
      </c>
      <c r="I16" s="2">
        <v>1</v>
      </c>
      <c r="J16" s="2">
        <v>1</v>
      </c>
      <c r="K16" s="2">
        <v>0</v>
      </c>
      <c r="L16" s="2">
        <v>1</v>
      </c>
      <c r="M16" s="4">
        <f t="shared" si="0"/>
        <v>4</v>
      </c>
      <c r="N16" s="4">
        <f t="shared" si="1"/>
        <v>4</v>
      </c>
      <c r="O16" s="4">
        <f t="shared" si="2"/>
        <v>0</v>
      </c>
      <c r="P16" s="4">
        <f t="shared" si="3"/>
        <v>4</v>
      </c>
    </row>
    <row r="17" spans="1:16" x14ac:dyDescent="0.25">
      <c r="A17" t="s">
        <v>150</v>
      </c>
      <c r="B17" t="s">
        <v>35</v>
      </c>
      <c r="C17" t="s">
        <v>37</v>
      </c>
      <c r="D17" t="s">
        <v>151</v>
      </c>
      <c r="E17" t="s">
        <v>152</v>
      </c>
      <c r="F17" t="s">
        <v>40</v>
      </c>
      <c r="G17" t="s">
        <v>370</v>
      </c>
      <c r="H17" t="s">
        <v>358</v>
      </c>
      <c r="I17" s="2">
        <v>1</v>
      </c>
      <c r="J17" s="2">
        <v>1</v>
      </c>
      <c r="K17" s="2">
        <v>0</v>
      </c>
      <c r="L17" s="2">
        <v>1</v>
      </c>
      <c r="M17" s="4">
        <f t="shared" si="0"/>
        <v>4</v>
      </c>
      <c r="N17" s="4">
        <f t="shared" si="1"/>
        <v>4</v>
      </c>
      <c r="O17" s="4">
        <f t="shared" si="2"/>
        <v>0</v>
      </c>
      <c r="P17" s="4">
        <f t="shared" si="3"/>
        <v>4</v>
      </c>
    </row>
    <row r="18" spans="1:16" x14ac:dyDescent="0.25">
      <c r="A18" t="s">
        <v>88</v>
      </c>
      <c r="B18" t="s">
        <v>35</v>
      </c>
      <c r="C18" t="s">
        <v>64</v>
      </c>
      <c r="D18" t="s">
        <v>27</v>
      </c>
      <c r="E18" t="s">
        <v>89</v>
      </c>
      <c r="F18" t="s">
        <v>67</v>
      </c>
      <c r="G18" t="s">
        <v>360</v>
      </c>
      <c r="H18" t="s">
        <v>362</v>
      </c>
      <c r="I18" s="2">
        <v>1</v>
      </c>
      <c r="J18" s="2">
        <v>1</v>
      </c>
      <c r="K18" s="2">
        <v>0</v>
      </c>
      <c r="L18" s="2">
        <v>1</v>
      </c>
      <c r="M18" s="4">
        <f t="shared" si="0"/>
        <v>4</v>
      </c>
      <c r="N18" s="4">
        <f t="shared" si="1"/>
        <v>4</v>
      </c>
      <c r="O18" s="4">
        <f t="shared" si="2"/>
        <v>0</v>
      </c>
      <c r="P18" s="4">
        <f t="shared" si="3"/>
        <v>4</v>
      </c>
    </row>
    <row r="19" spans="1:16" x14ac:dyDescent="0.25">
      <c r="A19" t="s">
        <v>317</v>
      </c>
      <c r="B19" t="s">
        <v>35</v>
      </c>
      <c r="C19" t="s">
        <v>37</v>
      </c>
      <c r="D19" t="s">
        <v>300</v>
      </c>
      <c r="E19" t="s">
        <v>318</v>
      </c>
      <c r="F19" t="s">
        <v>81</v>
      </c>
      <c r="G19" t="s">
        <v>369</v>
      </c>
      <c r="H19" t="s">
        <v>362</v>
      </c>
      <c r="I19" s="2">
        <v>1</v>
      </c>
      <c r="J19" s="2">
        <v>1</v>
      </c>
      <c r="K19" s="2">
        <v>0</v>
      </c>
      <c r="L19" s="2">
        <v>1</v>
      </c>
      <c r="M19" s="4">
        <f t="shared" si="0"/>
        <v>4</v>
      </c>
      <c r="N19" s="4">
        <f t="shared" si="1"/>
        <v>4</v>
      </c>
      <c r="O19" s="4">
        <f t="shared" si="2"/>
        <v>0</v>
      </c>
      <c r="P19" s="4">
        <f t="shared" si="3"/>
        <v>4</v>
      </c>
    </row>
    <row r="20" spans="1:16" x14ac:dyDescent="0.25">
      <c r="A20" t="s">
        <v>116</v>
      </c>
      <c r="B20" t="s">
        <v>35</v>
      </c>
      <c r="C20" t="s">
        <v>117</v>
      </c>
      <c r="D20" t="s">
        <v>118</v>
      </c>
      <c r="E20" t="s">
        <v>119</v>
      </c>
      <c r="F20" t="s">
        <v>120</v>
      </c>
      <c r="G20" t="s">
        <v>364</v>
      </c>
      <c r="H20" t="s">
        <v>362</v>
      </c>
      <c r="I20" s="2">
        <v>1</v>
      </c>
      <c r="J20" s="2">
        <v>1</v>
      </c>
      <c r="K20" s="2">
        <v>0</v>
      </c>
      <c r="L20" s="2">
        <v>1</v>
      </c>
      <c r="M20" s="4">
        <f t="shared" si="0"/>
        <v>4</v>
      </c>
      <c r="N20" s="4">
        <f t="shared" si="1"/>
        <v>4</v>
      </c>
      <c r="O20" s="4">
        <f t="shared" si="2"/>
        <v>0</v>
      </c>
      <c r="P20" s="4">
        <f t="shared" si="3"/>
        <v>4</v>
      </c>
    </row>
    <row r="21" spans="1:16" x14ac:dyDescent="0.25">
      <c r="A21" t="s">
        <v>90</v>
      </c>
      <c r="B21" t="s">
        <v>35</v>
      </c>
      <c r="C21" t="s">
        <v>91</v>
      </c>
      <c r="D21" t="s">
        <v>92</v>
      </c>
      <c r="E21" t="s">
        <v>93</v>
      </c>
      <c r="F21" t="s">
        <v>94</v>
      </c>
      <c r="G21" t="s">
        <v>364</v>
      </c>
      <c r="H21" t="s">
        <v>367</v>
      </c>
      <c r="I21" s="2">
        <v>1</v>
      </c>
      <c r="J21" s="2">
        <v>1</v>
      </c>
      <c r="K21" s="2">
        <v>0</v>
      </c>
      <c r="L21" s="2">
        <v>1</v>
      </c>
      <c r="M21" s="4">
        <f t="shared" si="0"/>
        <v>4</v>
      </c>
      <c r="N21" s="4">
        <f t="shared" si="1"/>
        <v>4</v>
      </c>
      <c r="O21" s="4">
        <f t="shared" si="2"/>
        <v>0</v>
      </c>
      <c r="P21" s="4">
        <f t="shared" si="3"/>
        <v>4</v>
      </c>
    </row>
    <row r="22" spans="1:16" x14ac:dyDescent="0.25">
      <c r="A22" t="s">
        <v>95</v>
      </c>
      <c r="B22" t="s">
        <v>35</v>
      </c>
      <c r="C22" t="s">
        <v>37</v>
      </c>
      <c r="D22" t="s">
        <v>96</v>
      </c>
      <c r="E22" t="s">
        <v>97</v>
      </c>
      <c r="F22" t="s">
        <v>40</v>
      </c>
      <c r="G22" t="s">
        <v>368</v>
      </c>
      <c r="H22" t="s">
        <v>357</v>
      </c>
      <c r="I22" s="2">
        <v>1</v>
      </c>
      <c r="J22" s="2">
        <v>1</v>
      </c>
      <c r="K22" s="2">
        <v>0</v>
      </c>
      <c r="L22" s="2">
        <v>1</v>
      </c>
      <c r="M22" s="4">
        <f t="shared" si="0"/>
        <v>4</v>
      </c>
      <c r="N22" s="4">
        <f t="shared" si="1"/>
        <v>4</v>
      </c>
      <c r="O22" s="4">
        <f t="shared" si="2"/>
        <v>0</v>
      </c>
      <c r="P22" s="4">
        <f t="shared" si="3"/>
        <v>4</v>
      </c>
    </row>
    <row r="23" spans="1:16" x14ac:dyDescent="0.25">
      <c r="A23" t="s">
        <v>161</v>
      </c>
      <c r="B23" t="s">
        <v>35</v>
      </c>
      <c r="C23" t="s">
        <v>110</v>
      </c>
      <c r="D23" t="s">
        <v>19</v>
      </c>
      <c r="E23" t="s">
        <v>162</v>
      </c>
      <c r="F23" t="s">
        <v>112</v>
      </c>
      <c r="G23" t="s">
        <v>369</v>
      </c>
      <c r="H23" t="s">
        <v>359</v>
      </c>
      <c r="I23" s="2">
        <v>1</v>
      </c>
      <c r="J23" s="2">
        <v>1</v>
      </c>
      <c r="K23" s="2">
        <v>0</v>
      </c>
      <c r="L23" s="2">
        <v>1</v>
      </c>
      <c r="M23" s="4">
        <f t="shared" si="0"/>
        <v>4</v>
      </c>
      <c r="N23" s="4">
        <f t="shared" si="1"/>
        <v>4</v>
      </c>
      <c r="O23" s="4">
        <f t="shared" si="2"/>
        <v>0</v>
      </c>
      <c r="P23" s="4">
        <f t="shared" si="3"/>
        <v>4</v>
      </c>
    </row>
    <row r="24" spans="1:16" x14ac:dyDescent="0.25">
      <c r="A24" t="s">
        <v>163</v>
      </c>
      <c r="B24" t="s">
        <v>35</v>
      </c>
      <c r="C24" t="s">
        <v>164</v>
      </c>
      <c r="D24" t="s">
        <v>165</v>
      </c>
      <c r="E24" t="s">
        <v>156</v>
      </c>
      <c r="F24" t="s">
        <v>166</v>
      </c>
      <c r="G24" t="s">
        <v>364</v>
      </c>
      <c r="H24" t="s">
        <v>362</v>
      </c>
      <c r="I24" s="2">
        <v>1</v>
      </c>
      <c r="J24" s="2">
        <v>1</v>
      </c>
      <c r="K24" s="2">
        <v>0</v>
      </c>
      <c r="L24" s="2">
        <v>1</v>
      </c>
      <c r="M24" s="4">
        <f t="shared" si="0"/>
        <v>4</v>
      </c>
      <c r="N24" s="4">
        <f t="shared" si="1"/>
        <v>4</v>
      </c>
      <c r="O24" s="4">
        <f t="shared" si="2"/>
        <v>0</v>
      </c>
      <c r="P24" s="4">
        <f t="shared" si="3"/>
        <v>4</v>
      </c>
    </row>
    <row r="25" spans="1:16" x14ac:dyDescent="0.25">
      <c r="A25" t="s">
        <v>98</v>
      </c>
      <c r="B25" t="s">
        <v>35</v>
      </c>
      <c r="C25" t="s">
        <v>99</v>
      </c>
      <c r="D25" t="s">
        <v>25</v>
      </c>
      <c r="E25" t="s">
        <v>100</v>
      </c>
      <c r="F25" t="s">
        <v>101</v>
      </c>
      <c r="G25" t="s">
        <v>369</v>
      </c>
      <c r="H25" t="s">
        <v>359</v>
      </c>
      <c r="I25" s="2">
        <v>1</v>
      </c>
      <c r="J25" s="2">
        <v>1</v>
      </c>
      <c r="K25" s="2">
        <v>0</v>
      </c>
      <c r="L25" s="2">
        <v>1</v>
      </c>
      <c r="M25" s="4">
        <f t="shared" si="0"/>
        <v>4</v>
      </c>
      <c r="N25" s="4">
        <f t="shared" si="1"/>
        <v>4</v>
      </c>
      <c r="O25" s="4">
        <f t="shared" si="2"/>
        <v>0</v>
      </c>
      <c r="P25" s="4">
        <f t="shared" si="3"/>
        <v>4</v>
      </c>
    </row>
    <row r="26" spans="1:16" x14ac:dyDescent="0.25">
      <c r="A26" t="s">
        <v>222</v>
      </c>
      <c r="B26" t="s">
        <v>35</v>
      </c>
      <c r="C26" t="s">
        <v>130</v>
      </c>
      <c r="D26" t="s">
        <v>223</v>
      </c>
      <c r="E26" t="s">
        <v>224</v>
      </c>
      <c r="F26" t="s">
        <v>133</v>
      </c>
      <c r="G26" t="s">
        <v>372</v>
      </c>
      <c r="H26" t="s">
        <v>373</v>
      </c>
      <c r="I26" s="2">
        <v>1</v>
      </c>
      <c r="J26" s="2">
        <v>1</v>
      </c>
      <c r="K26" s="2">
        <v>0</v>
      </c>
      <c r="L26" s="2">
        <v>1</v>
      </c>
      <c r="M26" s="4">
        <f t="shared" si="0"/>
        <v>4</v>
      </c>
      <c r="N26" s="4">
        <f t="shared" si="1"/>
        <v>4</v>
      </c>
      <c r="O26" s="4">
        <f t="shared" si="2"/>
        <v>0</v>
      </c>
      <c r="P26" s="4">
        <f t="shared" si="3"/>
        <v>4</v>
      </c>
    </row>
    <row r="27" spans="1:16" x14ac:dyDescent="0.25">
      <c r="A27" t="s">
        <v>170</v>
      </c>
      <c r="B27" t="s">
        <v>35</v>
      </c>
      <c r="C27" t="s">
        <v>171</v>
      </c>
      <c r="D27" t="s">
        <v>28</v>
      </c>
      <c r="E27" t="s">
        <v>172</v>
      </c>
      <c r="F27" t="s">
        <v>173</v>
      </c>
      <c r="G27" t="s">
        <v>370</v>
      </c>
      <c r="H27" t="s">
        <v>362</v>
      </c>
      <c r="I27" s="2">
        <v>1</v>
      </c>
      <c r="J27" s="2">
        <v>1</v>
      </c>
      <c r="K27" s="2">
        <v>0</v>
      </c>
      <c r="L27" s="2">
        <v>1</v>
      </c>
      <c r="M27" s="4">
        <f t="shared" si="0"/>
        <v>4</v>
      </c>
      <c r="N27" s="4">
        <f t="shared" si="1"/>
        <v>4</v>
      </c>
      <c r="O27" s="4">
        <f t="shared" si="2"/>
        <v>0</v>
      </c>
      <c r="P27" s="4">
        <f t="shared" si="3"/>
        <v>4</v>
      </c>
    </row>
    <row r="28" spans="1:16" x14ac:dyDescent="0.25">
      <c r="A28" t="s">
        <v>174</v>
      </c>
      <c r="B28" t="s">
        <v>35</v>
      </c>
      <c r="C28" t="s">
        <v>175</v>
      </c>
      <c r="D28" t="s">
        <v>176</v>
      </c>
      <c r="E28" t="s">
        <v>177</v>
      </c>
      <c r="F28" t="s">
        <v>178</v>
      </c>
      <c r="G28" t="s">
        <v>361</v>
      </c>
      <c r="H28" t="s">
        <v>359</v>
      </c>
      <c r="I28" s="2">
        <v>1</v>
      </c>
      <c r="J28" s="2">
        <v>0.7</v>
      </c>
      <c r="K28" s="2">
        <v>0</v>
      </c>
      <c r="L28" s="2">
        <v>1</v>
      </c>
      <c r="M28" s="4">
        <f t="shared" si="0"/>
        <v>4</v>
      </c>
      <c r="N28" s="4">
        <f t="shared" si="1"/>
        <v>3</v>
      </c>
      <c r="O28" s="4">
        <f t="shared" si="2"/>
        <v>0</v>
      </c>
      <c r="P28" s="4">
        <f t="shared" si="3"/>
        <v>4</v>
      </c>
    </row>
    <row r="29" spans="1:16" x14ac:dyDescent="0.25">
      <c r="A29" t="s">
        <v>134</v>
      </c>
      <c r="B29" t="s">
        <v>35</v>
      </c>
      <c r="C29" t="s">
        <v>42</v>
      </c>
      <c r="D29" t="s">
        <v>135</v>
      </c>
      <c r="E29" t="s">
        <v>136</v>
      </c>
      <c r="F29" t="s">
        <v>137</v>
      </c>
      <c r="G29" t="s">
        <v>369</v>
      </c>
      <c r="H29" t="s">
        <v>371</v>
      </c>
      <c r="I29" s="2">
        <v>1</v>
      </c>
      <c r="J29" s="2">
        <v>1</v>
      </c>
      <c r="K29" s="2">
        <v>0</v>
      </c>
      <c r="L29" s="2">
        <v>1</v>
      </c>
      <c r="M29" s="4">
        <f t="shared" si="0"/>
        <v>4</v>
      </c>
      <c r="N29" s="4">
        <f t="shared" si="1"/>
        <v>4</v>
      </c>
      <c r="O29" s="4">
        <f t="shared" si="2"/>
        <v>0</v>
      </c>
      <c r="P29" s="4">
        <f t="shared" si="3"/>
        <v>4</v>
      </c>
    </row>
    <row r="30" spans="1:16" x14ac:dyDescent="0.25">
      <c r="A30" t="s">
        <v>280</v>
      </c>
      <c r="B30" t="s">
        <v>35</v>
      </c>
      <c r="C30" t="s">
        <v>146</v>
      </c>
      <c r="D30" t="s">
        <v>281</v>
      </c>
      <c r="E30" t="s">
        <v>282</v>
      </c>
      <c r="F30" t="s">
        <v>149</v>
      </c>
      <c r="G30" t="s">
        <v>363</v>
      </c>
      <c r="H30" t="s">
        <v>358</v>
      </c>
      <c r="I30" s="2">
        <v>1</v>
      </c>
      <c r="J30" s="2">
        <v>0.7</v>
      </c>
      <c r="K30" s="2">
        <v>0</v>
      </c>
      <c r="L30" s="2">
        <v>1</v>
      </c>
      <c r="M30" s="4">
        <f t="shared" si="0"/>
        <v>4</v>
      </c>
      <c r="N30" s="4">
        <f t="shared" si="1"/>
        <v>3</v>
      </c>
      <c r="O30" s="4">
        <f t="shared" si="2"/>
        <v>0</v>
      </c>
      <c r="P30" s="4">
        <f t="shared" si="3"/>
        <v>4</v>
      </c>
    </row>
    <row r="31" spans="1:16" x14ac:dyDescent="0.25">
      <c r="A31" t="s">
        <v>209</v>
      </c>
      <c r="B31" t="s">
        <v>35</v>
      </c>
      <c r="C31" t="s">
        <v>210</v>
      </c>
      <c r="D31" t="s">
        <v>211</v>
      </c>
      <c r="E31" t="s">
        <v>212</v>
      </c>
      <c r="F31" t="s">
        <v>213</v>
      </c>
      <c r="G31" t="s">
        <v>369</v>
      </c>
      <c r="H31" t="s">
        <v>359</v>
      </c>
      <c r="I31" s="2">
        <v>1</v>
      </c>
      <c r="J31" s="2">
        <v>0.7</v>
      </c>
      <c r="K31" s="2">
        <v>0.35</v>
      </c>
      <c r="L31" s="2">
        <v>1</v>
      </c>
      <c r="M31" s="4">
        <f t="shared" si="0"/>
        <v>4</v>
      </c>
      <c r="N31" s="4">
        <f t="shared" si="1"/>
        <v>3</v>
      </c>
      <c r="O31" s="4">
        <f t="shared" si="2"/>
        <v>2</v>
      </c>
      <c r="P31" s="4">
        <f t="shared" si="3"/>
        <v>4</v>
      </c>
    </row>
    <row r="32" spans="1:16" x14ac:dyDescent="0.25">
      <c r="A32" t="s">
        <v>225</v>
      </c>
      <c r="B32" t="s">
        <v>35</v>
      </c>
      <c r="C32" t="s">
        <v>91</v>
      </c>
      <c r="D32" t="s">
        <v>226</v>
      </c>
      <c r="E32" t="s">
        <v>227</v>
      </c>
      <c r="F32" t="s">
        <v>94</v>
      </c>
      <c r="G32" t="s">
        <v>361</v>
      </c>
      <c r="H32" t="s">
        <v>357</v>
      </c>
      <c r="I32" s="2">
        <v>1</v>
      </c>
      <c r="J32" s="2">
        <v>1</v>
      </c>
      <c r="K32" s="2">
        <v>0</v>
      </c>
      <c r="L32" s="2">
        <v>1</v>
      </c>
      <c r="M32" s="4">
        <f t="shared" si="0"/>
        <v>4</v>
      </c>
      <c r="N32" s="4">
        <f t="shared" si="1"/>
        <v>4</v>
      </c>
      <c r="O32" s="4">
        <f t="shared" si="2"/>
        <v>0</v>
      </c>
      <c r="P32" s="4">
        <f t="shared" si="3"/>
        <v>4</v>
      </c>
    </row>
    <row r="33" spans="1:16" x14ac:dyDescent="0.25">
      <c r="A33" t="s">
        <v>107</v>
      </c>
      <c r="B33" t="s">
        <v>35</v>
      </c>
      <c r="C33" t="s">
        <v>85</v>
      </c>
      <c r="D33" t="s">
        <v>11</v>
      </c>
      <c r="E33" t="s">
        <v>108</v>
      </c>
      <c r="F33" t="s">
        <v>87</v>
      </c>
      <c r="G33" t="s">
        <v>370</v>
      </c>
      <c r="H33" t="s">
        <v>357</v>
      </c>
      <c r="I33" s="2">
        <v>1</v>
      </c>
      <c r="J33" s="2">
        <v>1</v>
      </c>
      <c r="K33" s="2">
        <v>0</v>
      </c>
      <c r="L33" s="2">
        <v>1</v>
      </c>
      <c r="M33" s="4">
        <f t="shared" si="0"/>
        <v>4</v>
      </c>
      <c r="N33" s="4">
        <f t="shared" si="1"/>
        <v>4</v>
      </c>
      <c r="O33" s="4">
        <f t="shared" si="2"/>
        <v>0</v>
      </c>
      <c r="P33" s="4">
        <f t="shared" si="3"/>
        <v>4</v>
      </c>
    </row>
    <row r="34" spans="1:16" x14ac:dyDescent="0.25">
      <c r="A34" t="s">
        <v>109</v>
      </c>
      <c r="B34" t="s">
        <v>35</v>
      </c>
      <c r="C34" t="s">
        <v>110</v>
      </c>
      <c r="D34" t="s">
        <v>20</v>
      </c>
      <c r="E34" t="s">
        <v>111</v>
      </c>
      <c r="F34" t="s">
        <v>112</v>
      </c>
      <c r="G34" t="s">
        <v>369</v>
      </c>
      <c r="H34" t="s">
        <v>359</v>
      </c>
      <c r="I34" s="2">
        <v>1</v>
      </c>
      <c r="J34" s="2">
        <v>1</v>
      </c>
      <c r="K34" s="2">
        <v>0</v>
      </c>
      <c r="L34" s="2">
        <v>1</v>
      </c>
      <c r="M34" s="4">
        <f t="shared" ref="M34:M65" si="4">IF(I34=1,4,IF(I34=0.7,3,IF(I34=0.35,2,IF(I34=0.1,1,0))))</f>
        <v>4</v>
      </c>
      <c r="N34" s="4">
        <f t="shared" ref="N34:N65" si="5">IF(J34=1,4,IF(J34=0.7,3,IF(J34=0.35,2,IF(J34=0.1,1,0))))</f>
        <v>4</v>
      </c>
      <c r="O34" s="4">
        <f t="shared" ref="O34:O65" si="6">IF(K34=1,4,IF(K34=0.7,3,IF(K34=0.35,2,IF(K34=0.1,1,0))))</f>
        <v>0</v>
      </c>
      <c r="P34" s="4">
        <f t="shared" si="3"/>
        <v>4</v>
      </c>
    </row>
    <row r="35" spans="1:16" x14ac:dyDescent="0.25">
      <c r="A35" t="s">
        <v>188</v>
      </c>
      <c r="B35" t="s">
        <v>35</v>
      </c>
      <c r="C35" t="s">
        <v>171</v>
      </c>
      <c r="D35" t="s">
        <v>23</v>
      </c>
      <c r="E35" t="s">
        <v>189</v>
      </c>
      <c r="F35" t="s">
        <v>173</v>
      </c>
      <c r="G35" t="s">
        <v>363</v>
      </c>
      <c r="H35" t="s">
        <v>362</v>
      </c>
      <c r="I35" s="2">
        <v>1</v>
      </c>
      <c r="J35" s="2">
        <v>1</v>
      </c>
      <c r="K35" s="2">
        <v>0</v>
      </c>
      <c r="L35" s="2">
        <v>1</v>
      </c>
      <c r="M35" s="4">
        <f t="shared" si="4"/>
        <v>4</v>
      </c>
      <c r="N35" s="4">
        <f t="shared" si="5"/>
        <v>4</v>
      </c>
      <c r="O35" s="4">
        <f t="shared" si="6"/>
        <v>0</v>
      </c>
      <c r="P35" s="4">
        <f t="shared" si="3"/>
        <v>4</v>
      </c>
    </row>
    <row r="36" spans="1:16" x14ac:dyDescent="0.25">
      <c r="A36" t="s">
        <v>249</v>
      </c>
      <c r="B36" t="s">
        <v>35</v>
      </c>
      <c r="C36" t="s">
        <v>110</v>
      </c>
      <c r="D36" t="s">
        <v>21</v>
      </c>
      <c r="E36" t="s">
        <v>250</v>
      </c>
      <c r="F36" t="s">
        <v>112</v>
      </c>
      <c r="G36" t="s">
        <v>370</v>
      </c>
      <c r="H36" t="s">
        <v>373</v>
      </c>
      <c r="I36" s="2">
        <v>1</v>
      </c>
      <c r="J36" s="2">
        <v>1</v>
      </c>
      <c r="K36" s="2">
        <v>0</v>
      </c>
      <c r="L36" s="2">
        <v>1</v>
      </c>
      <c r="M36" s="4">
        <f t="shared" si="4"/>
        <v>4</v>
      </c>
      <c r="N36" s="4">
        <f t="shared" si="5"/>
        <v>4</v>
      </c>
      <c r="O36" s="4">
        <f t="shared" si="6"/>
        <v>0</v>
      </c>
      <c r="P36" s="4">
        <f t="shared" si="3"/>
        <v>4</v>
      </c>
    </row>
    <row r="37" spans="1:16" x14ac:dyDescent="0.25">
      <c r="A37" t="s">
        <v>199</v>
      </c>
      <c r="B37" t="s">
        <v>35</v>
      </c>
      <c r="C37" t="s">
        <v>139</v>
      </c>
      <c r="D37" t="s">
        <v>200</v>
      </c>
      <c r="E37" t="s">
        <v>201</v>
      </c>
      <c r="F37" t="s">
        <v>142</v>
      </c>
      <c r="G37" t="s">
        <v>369</v>
      </c>
      <c r="H37" t="s">
        <v>359</v>
      </c>
      <c r="I37" s="2">
        <v>1</v>
      </c>
      <c r="J37" s="2">
        <v>1</v>
      </c>
      <c r="K37" s="2">
        <v>1</v>
      </c>
      <c r="L37" s="2">
        <v>0.7</v>
      </c>
      <c r="M37" s="4">
        <f t="shared" si="4"/>
        <v>4</v>
      </c>
      <c r="N37" s="4">
        <f t="shared" si="5"/>
        <v>4</v>
      </c>
      <c r="O37" s="4">
        <f t="shared" si="6"/>
        <v>4</v>
      </c>
      <c r="P37" s="4">
        <f t="shared" ref="P37:P51" si="7">IF(L37=1,4,IF(L37=0.7,3,IF(L37=0.35,2,IF(L37=0.1,1,0))))</f>
        <v>3</v>
      </c>
    </row>
    <row r="38" spans="1:16" x14ac:dyDescent="0.25">
      <c r="A38" t="s">
        <v>309</v>
      </c>
      <c r="B38" t="s">
        <v>184</v>
      </c>
      <c r="C38" t="s">
        <v>310</v>
      </c>
      <c r="D38" t="s">
        <v>311</v>
      </c>
      <c r="E38" t="s">
        <v>312</v>
      </c>
      <c r="F38" t="s">
        <v>313</v>
      </c>
      <c r="G38" t="s">
        <v>370</v>
      </c>
      <c r="H38" t="s">
        <v>359</v>
      </c>
      <c r="I38" s="2">
        <v>1</v>
      </c>
      <c r="J38" s="2">
        <v>0.7</v>
      </c>
      <c r="K38" s="2">
        <v>0</v>
      </c>
      <c r="L38" s="2">
        <v>1</v>
      </c>
      <c r="M38" s="4">
        <f t="shared" si="4"/>
        <v>4</v>
      </c>
      <c r="N38" s="4">
        <f t="shared" si="5"/>
        <v>3</v>
      </c>
      <c r="O38" s="4">
        <f t="shared" si="6"/>
        <v>0</v>
      </c>
      <c r="P38" s="4">
        <f t="shared" si="7"/>
        <v>4</v>
      </c>
    </row>
    <row r="39" spans="1:16" x14ac:dyDescent="0.25">
      <c r="A39" t="s">
        <v>78</v>
      </c>
      <c r="B39" t="s">
        <v>35</v>
      </c>
      <c r="C39" t="s">
        <v>37</v>
      </c>
      <c r="D39" t="s">
        <v>79</v>
      </c>
      <c r="E39" t="s">
        <v>80</v>
      </c>
      <c r="F39" t="s">
        <v>81</v>
      </c>
      <c r="G39" t="s">
        <v>366</v>
      </c>
      <c r="H39" t="s">
        <v>358</v>
      </c>
      <c r="I39" s="2">
        <v>1</v>
      </c>
      <c r="J39" s="2">
        <v>0.7</v>
      </c>
      <c r="K39" s="2">
        <v>0</v>
      </c>
      <c r="L39" s="2">
        <v>1</v>
      </c>
      <c r="M39" s="4">
        <f t="shared" si="4"/>
        <v>4</v>
      </c>
      <c r="N39" s="4">
        <f t="shared" si="5"/>
        <v>3</v>
      </c>
      <c r="O39" s="4">
        <f t="shared" si="6"/>
        <v>0</v>
      </c>
      <c r="P39" s="4">
        <f t="shared" si="7"/>
        <v>4</v>
      </c>
    </row>
    <row r="40" spans="1:16" x14ac:dyDescent="0.25">
      <c r="A40" t="s">
        <v>84</v>
      </c>
      <c r="B40" t="s">
        <v>35</v>
      </c>
      <c r="C40" t="s">
        <v>85</v>
      </c>
      <c r="D40" t="s">
        <v>14</v>
      </c>
      <c r="E40" t="s">
        <v>86</v>
      </c>
      <c r="F40" t="s">
        <v>87</v>
      </c>
      <c r="G40" t="s">
        <v>363</v>
      </c>
      <c r="H40" t="s">
        <v>367</v>
      </c>
      <c r="I40" s="2">
        <v>1</v>
      </c>
      <c r="J40" s="2">
        <v>0.7</v>
      </c>
      <c r="K40" s="2">
        <v>0</v>
      </c>
      <c r="L40" s="2">
        <v>1</v>
      </c>
      <c r="M40" s="4">
        <f t="shared" si="4"/>
        <v>4</v>
      </c>
      <c r="N40" s="4">
        <f t="shared" si="5"/>
        <v>3</v>
      </c>
      <c r="O40" s="4">
        <f t="shared" si="6"/>
        <v>0</v>
      </c>
      <c r="P40" s="4">
        <f t="shared" si="7"/>
        <v>4</v>
      </c>
    </row>
    <row r="41" spans="1:16" x14ac:dyDescent="0.25">
      <c r="A41" t="s">
        <v>319</v>
      </c>
      <c r="B41" t="s">
        <v>35</v>
      </c>
      <c r="C41" t="s">
        <v>245</v>
      </c>
      <c r="D41" t="s">
        <v>320</v>
      </c>
      <c r="E41" t="s">
        <v>321</v>
      </c>
      <c r="F41" t="s">
        <v>248</v>
      </c>
      <c r="G41" t="s">
        <v>374</v>
      </c>
      <c r="H41" t="s">
        <v>362</v>
      </c>
      <c r="I41" s="2">
        <v>1</v>
      </c>
      <c r="J41" s="2">
        <v>0.7</v>
      </c>
      <c r="K41" s="2">
        <v>0</v>
      </c>
      <c r="L41" s="2">
        <v>1</v>
      </c>
      <c r="M41" s="4">
        <f t="shared" si="4"/>
        <v>4</v>
      </c>
      <c r="N41" s="4">
        <f t="shared" si="5"/>
        <v>3</v>
      </c>
      <c r="O41" s="4">
        <f t="shared" si="6"/>
        <v>0</v>
      </c>
      <c r="P41" s="4">
        <f t="shared" si="7"/>
        <v>4</v>
      </c>
    </row>
    <row r="42" spans="1:16" x14ac:dyDescent="0.25">
      <c r="A42" t="s">
        <v>121</v>
      </c>
      <c r="B42" t="s">
        <v>35</v>
      </c>
      <c r="C42" t="s">
        <v>122</v>
      </c>
      <c r="D42" t="s">
        <v>26</v>
      </c>
      <c r="E42" t="s">
        <v>123</v>
      </c>
      <c r="F42" t="s">
        <v>124</v>
      </c>
      <c r="G42" t="s">
        <v>370</v>
      </c>
      <c r="H42" t="s">
        <v>371</v>
      </c>
      <c r="I42" s="2">
        <v>1</v>
      </c>
      <c r="J42" s="2">
        <v>1</v>
      </c>
      <c r="K42" s="2">
        <v>0</v>
      </c>
      <c r="L42" s="2">
        <v>0.7</v>
      </c>
      <c r="M42" s="4">
        <f t="shared" si="4"/>
        <v>4</v>
      </c>
      <c r="N42" s="4">
        <f t="shared" si="5"/>
        <v>4</v>
      </c>
      <c r="O42" s="4">
        <f t="shared" si="6"/>
        <v>0</v>
      </c>
      <c r="P42" s="4">
        <f t="shared" si="7"/>
        <v>3</v>
      </c>
    </row>
    <row r="43" spans="1:16" x14ac:dyDescent="0.25">
      <c r="A43" t="s">
        <v>102</v>
      </c>
      <c r="B43" t="s">
        <v>35</v>
      </c>
      <c r="C43" t="s">
        <v>103</v>
      </c>
      <c r="D43" t="s">
        <v>104</v>
      </c>
      <c r="E43" t="s">
        <v>105</v>
      </c>
      <c r="F43" t="s">
        <v>106</v>
      </c>
      <c r="G43" t="s">
        <v>360</v>
      </c>
      <c r="H43" t="s">
        <v>357</v>
      </c>
      <c r="I43" s="2">
        <v>1</v>
      </c>
      <c r="J43" s="2">
        <v>0.7</v>
      </c>
      <c r="K43" s="2">
        <v>0</v>
      </c>
      <c r="L43" s="2">
        <v>1</v>
      </c>
      <c r="M43" s="4">
        <f t="shared" si="4"/>
        <v>4</v>
      </c>
      <c r="N43" s="4">
        <f t="shared" si="5"/>
        <v>3</v>
      </c>
      <c r="O43" s="4">
        <f t="shared" si="6"/>
        <v>0</v>
      </c>
      <c r="P43" s="4">
        <f t="shared" si="7"/>
        <v>4</v>
      </c>
    </row>
    <row r="44" spans="1:16" x14ac:dyDescent="0.25">
      <c r="A44" t="s">
        <v>202</v>
      </c>
      <c r="B44" t="s">
        <v>35</v>
      </c>
      <c r="C44" t="s">
        <v>37</v>
      </c>
      <c r="D44" t="s">
        <v>203</v>
      </c>
      <c r="E44" t="s">
        <v>204</v>
      </c>
      <c r="F44" t="s">
        <v>81</v>
      </c>
      <c r="G44" t="s">
        <v>360</v>
      </c>
      <c r="H44" t="s">
        <v>357</v>
      </c>
      <c r="I44" s="2">
        <v>1</v>
      </c>
      <c r="J44" s="2">
        <v>1</v>
      </c>
      <c r="K44" s="2">
        <v>0</v>
      </c>
      <c r="L44" s="2">
        <v>0.7</v>
      </c>
      <c r="M44" s="4">
        <f t="shared" si="4"/>
        <v>4</v>
      </c>
      <c r="N44" s="4">
        <f t="shared" si="5"/>
        <v>4</v>
      </c>
      <c r="O44" s="4">
        <f t="shared" si="6"/>
        <v>0</v>
      </c>
      <c r="P44" s="4">
        <f t="shared" si="7"/>
        <v>3</v>
      </c>
    </row>
    <row r="45" spans="1:16" x14ac:dyDescent="0.25">
      <c r="A45" t="s">
        <v>302</v>
      </c>
      <c r="B45" t="s">
        <v>35</v>
      </c>
      <c r="C45" t="s">
        <v>303</v>
      </c>
      <c r="D45" t="s">
        <v>304</v>
      </c>
      <c r="E45" t="s">
        <v>305</v>
      </c>
      <c r="F45" t="s">
        <v>306</v>
      </c>
      <c r="G45" t="s">
        <v>374</v>
      </c>
      <c r="H45" t="s">
        <v>359</v>
      </c>
      <c r="I45" s="2">
        <v>1</v>
      </c>
      <c r="J45" s="2">
        <v>1</v>
      </c>
      <c r="K45" s="2">
        <v>0</v>
      </c>
      <c r="L45" s="2">
        <v>0.7</v>
      </c>
      <c r="M45" s="4">
        <f t="shared" si="4"/>
        <v>4</v>
      </c>
      <c r="N45" s="4">
        <f t="shared" si="5"/>
        <v>4</v>
      </c>
      <c r="O45" s="4">
        <f t="shared" si="6"/>
        <v>0</v>
      </c>
      <c r="P45" s="4">
        <f t="shared" si="7"/>
        <v>3</v>
      </c>
    </row>
    <row r="46" spans="1:16" x14ac:dyDescent="0.25">
      <c r="A46" t="s">
        <v>143</v>
      </c>
      <c r="B46" t="s">
        <v>35</v>
      </c>
      <c r="C46" t="s">
        <v>85</v>
      </c>
      <c r="D46" t="s">
        <v>12</v>
      </c>
      <c r="E46" t="s">
        <v>144</v>
      </c>
      <c r="F46" t="s">
        <v>87</v>
      </c>
      <c r="G46" t="s">
        <v>370</v>
      </c>
      <c r="H46" t="s">
        <v>371</v>
      </c>
      <c r="I46" s="2">
        <v>1</v>
      </c>
      <c r="J46" s="2">
        <v>1</v>
      </c>
      <c r="K46" s="2">
        <v>0</v>
      </c>
      <c r="L46" s="2">
        <v>0.7</v>
      </c>
      <c r="M46" s="4">
        <f t="shared" si="4"/>
        <v>4</v>
      </c>
      <c r="N46" s="4">
        <f t="shared" si="5"/>
        <v>4</v>
      </c>
      <c r="O46" s="4">
        <f t="shared" si="6"/>
        <v>0</v>
      </c>
      <c r="P46" s="4">
        <f t="shared" si="7"/>
        <v>3</v>
      </c>
    </row>
    <row r="47" spans="1:16" x14ac:dyDescent="0.25">
      <c r="A47" t="s">
        <v>242</v>
      </c>
      <c r="B47" t="s">
        <v>35</v>
      </c>
      <c r="C47" t="s">
        <v>85</v>
      </c>
      <c r="D47" t="s">
        <v>10</v>
      </c>
      <c r="E47" t="s">
        <v>243</v>
      </c>
      <c r="F47" t="s">
        <v>87</v>
      </c>
      <c r="G47" t="s">
        <v>370</v>
      </c>
      <c r="H47" t="s">
        <v>367</v>
      </c>
      <c r="I47" s="2">
        <v>1</v>
      </c>
      <c r="J47" s="2">
        <v>1</v>
      </c>
      <c r="K47" s="2">
        <v>0</v>
      </c>
      <c r="L47" s="2">
        <v>0.7</v>
      </c>
      <c r="M47" s="4">
        <f t="shared" si="4"/>
        <v>4</v>
      </c>
      <c r="N47" s="4">
        <f t="shared" si="5"/>
        <v>4</v>
      </c>
      <c r="O47" s="4">
        <f t="shared" si="6"/>
        <v>0</v>
      </c>
      <c r="P47" s="4">
        <f t="shared" si="7"/>
        <v>3</v>
      </c>
    </row>
    <row r="48" spans="1:16" x14ac:dyDescent="0.25">
      <c r="A48" t="s">
        <v>82</v>
      </c>
      <c r="B48" t="s">
        <v>35</v>
      </c>
      <c r="C48" t="s">
        <v>37</v>
      </c>
      <c r="D48" t="s">
        <v>55</v>
      </c>
      <c r="E48" t="s">
        <v>83</v>
      </c>
      <c r="F48" t="s">
        <v>40</v>
      </c>
      <c r="G48" t="s">
        <v>366</v>
      </c>
      <c r="H48" t="s">
        <v>357</v>
      </c>
      <c r="I48" s="2">
        <v>1</v>
      </c>
      <c r="J48" s="2">
        <v>1</v>
      </c>
      <c r="K48" s="2">
        <v>0</v>
      </c>
      <c r="L48" s="2">
        <v>0.7</v>
      </c>
      <c r="M48" s="4">
        <f t="shared" si="4"/>
        <v>4</v>
      </c>
      <c r="N48" s="4">
        <f t="shared" si="5"/>
        <v>4</v>
      </c>
      <c r="O48" s="4">
        <f t="shared" si="6"/>
        <v>0</v>
      </c>
      <c r="P48" s="4">
        <f t="shared" si="7"/>
        <v>3</v>
      </c>
    </row>
    <row r="49" spans="1:16" x14ac:dyDescent="0.25">
      <c r="A49" t="s">
        <v>283</v>
      </c>
      <c r="B49" t="s">
        <v>35</v>
      </c>
      <c r="C49" t="s">
        <v>42</v>
      </c>
      <c r="D49" t="s">
        <v>281</v>
      </c>
      <c r="E49" t="s">
        <v>284</v>
      </c>
      <c r="F49" t="s">
        <v>45</v>
      </c>
      <c r="G49" t="s">
        <v>361</v>
      </c>
      <c r="H49" t="s">
        <v>362</v>
      </c>
      <c r="I49" s="2">
        <v>1</v>
      </c>
      <c r="J49" s="2">
        <v>0.7</v>
      </c>
      <c r="K49" s="2">
        <v>0</v>
      </c>
      <c r="L49" s="2">
        <v>1</v>
      </c>
      <c r="M49" s="4">
        <f t="shared" si="4"/>
        <v>4</v>
      </c>
      <c r="N49" s="4">
        <f t="shared" si="5"/>
        <v>3</v>
      </c>
      <c r="O49" s="4">
        <f t="shared" si="6"/>
        <v>0</v>
      </c>
      <c r="P49" s="4">
        <f t="shared" si="7"/>
        <v>4</v>
      </c>
    </row>
    <row r="50" spans="1:16" x14ac:dyDescent="0.25">
      <c r="A50" t="s">
        <v>158</v>
      </c>
      <c r="B50" t="s">
        <v>35</v>
      </c>
      <c r="C50" t="s">
        <v>91</v>
      </c>
      <c r="D50" t="s">
        <v>159</v>
      </c>
      <c r="E50" t="s">
        <v>160</v>
      </c>
      <c r="F50" t="s">
        <v>94</v>
      </c>
      <c r="G50" t="s">
        <v>361</v>
      </c>
      <c r="H50" t="s">
        <v>367</v>
      </c>
      <c r="I50" s="2">
        <v>1</v>
      </c>
      <c r="J50" s="2">
        <v>1</v>
      </c>
      <c r="K50" s="2">
        <v>0</v>
      </c>
      <c r="L50" s="2">
        <v>0.7</v>
      </c>
      <c r="M50" s="4">
        <f t="shared" si="4"/>
        <v>4</v>
      </c>
      <c r="N50" s="4">
        <f t="shared" si="5"/>
        <v>4</v>
      </c>
      <c r="O50" s="4">
        <f t="shared" si="6"/>
        <v>0</v>
      </c>
      <c r="P50" s="4">
        <f t="shared" si="7"/>
        <v>3</v>
      </c>
    </row>
    <row r="51" spans="1:16" x14ac:dyDescent="0.25">
      <c r="A51" t="s">
        <v>266</v>
      </c>
      <c r="B51" t="s">
        <v>35</v>
      </c>
      <c r="C51" t="s">
        <v>267</v>
      </c>
      <c r="D51" t="s">
        <v>268</v>
      </c>
      <c r="E51" t="s">
        <v>269</v>
      </c>
      <c r="F51" t="s">
        <v>270</v>
      </c>
      <c r="G51" t="s">
        <v>372</v>
      </c>
      <c r="H51" t="s">
        <v>373</v>
      </c>
      <c r="I51" s="2">
        <v>1</v>
      </c>
      <c r="J51" s="2">
        <v>0.7</v>
      </c>
      <c r="K51" s="2">
        <v>0.7</v>
      </c>
      <c r="L51" s="2">
        <v>0.7</v>
      </c>
      <c r="M51" s="4">
        <f t="shared" si="4"/>
        <v>4</v>
      </c>
      <c r="N51" s="4">
        <f t="shared" si="5"/>
        <v>3</v>
      </c>
      <c r="O51" s="4">
        <f t="shared" si="6"/>
        <v>3</v>
      </c>
      <c r="P51" s="4">
        <f t="shared" si="7"/>
        <v>3</v>
      </c>
    </row>
    <row r="52" spans="1:16" x14ac:dyDescent="0.25">
      <c r="A52" t="s">
        <v>185</v>
      </c>
      <c r="B52" t="s">
        <v>184</v>
      </c>
      <c r="C52" t="s">
        <v>164</v>
      </c>
      <c r="D52" t="s">
        <v>186</v>
      </c>
      <c r="E52" t="s">
        <v>187</v>
      </c>
      <c r="F52" t="s">
        <v>166</v>
      </c>
      <c r="G52" t="s">
        <v>364</v>
      </c>
      <c r="H52" t="s">
        <v>362</v>
      </c>
      <c r="I52" s="2">
        <v>1</v>
      </c>
      <c r="J52" s="2">
        <v>1</v>
      </c>
      <c r="K52" s="2">
        <v>0</v>
      </c>
      <c r="L52" s="2">
        <v>0.7</v>
      </c>
      <c r="M52" s="4">
        <f t="shared" si="4"/>
        <v>4</v>
      </c>
      <c r="N52" s="4">
        <f t="shared" si="5"/>
        <v>4</v>
      </c>
      <c r="O52" s="4">
        <f t="shared" si="6"/>
        <v>0</v>
      </c>
      <c r="P52" s="4">
        <f t="shared" ref="P52:P74" si="8">IF(L52=1,4,IF(L52=0.7,3,IF(L52=0.35,2,IF(L52=0.1,1,0))))</f>
        <v>3</v>
      </c>
    </row>
    <row r="53" spans="1:16" x14ac:dyDescent="0.25">
      <c r="A53" t="s">
        <v>287</v>
      </c>
      <c r="B53" t="s">
        <v>35</v>
      </c>
      <c r="C53" t="s">
        <v>288</v>
      </c>
      <c r="D53" t="s">
        <v>289</v>
      </c>
      <c r="E53" t="s">
        <v>290</v>
      </c>
      <c r="F53" t="s">
        <v>291</v>
      </c>
      <c r="G53" t="s">
        <v>369</v>
      </c>
      <c r="H53" t="s">
        <v>371</v>
      </c>
      <c r="I53" s="2">
        <v>1</v>
      </c>
      <c r="J53" s="2">
        <v>1</v>
      </c>
      <c r="K53" s="2">
        <v>0</v>
      </c>
      <c r="L53" s="2">
        <v>0.7</v>
      </c>
      <c r="M53" s="4">
        <f t="shared" si="4"/>
        <v>4</v>
      </c>
      <c r="N53" s="4">
        <f t="shared" si="5"/>
        <v>4</v>
      </c>
      <c r="O53" s="4">
        <f t="shared" si="6"/>
        <v>0</v>
      </c>
      <c r="P53" s="4">
        <f t="shared" si="8"/>
        <v>3</v>
      </c>
    </row>
    <row r="54" spans="1:16" x14ac:dyDescent="0.25">
      <c r="A54" t="s">
        <v>113</v>
      </c>
      <c r="B54" t="s">
        <v>35</v>
      </c>
      <c r="C54" t="s">
        <v>103</v>
      </c>
      <c r="D54" t="s">
        <v>114</v>
      </c>
      <c r="E54" t="s">
        <v>115</v>
      </c>
      <c r="F54" t="s">
        <v>106</v>
      </c>
      <c r="G54" t="s">
        <v>369</v>
      </c>
      <c r="H54" t="s">
        <v>357</v>
      </c>
      <c r="I54" s="2">
        <v>1</v>
      </c>
      <c r="J54" s="2">
        <v>1</v>
      </c>
      <c r="K54" s="2">
        <v>0</v>
      </c>
      <c r="L54" s="2">
        <v>0.7</v>
      </c>
      <c r="M54" s="4">
        <f t="shared" si="4"/>
        <v>4</v>
      </c>
      <c r="N54" s="4">
        <f t="shared" si="5"/>
        <v>4</v>
      </c>
      <c r="O54" s="4">
        <f t="shared" si="6"/>
        <v>0</v>
      </c>
      <c r="P54" s="4">
        <f t="shared" si="8"/>
        <v>3</v>
      </c>
    </row>
    <row r="55" spans="1:16" x14ac:dyDescent="0.25">
      <c r="A55" t="s">
        <v>196</v>
      </c>
      <c r="B55" t="s">
        <v>35</v>
      </c>
      <c r="C55" t="s">
        <v>37</v>
      </c>
      <c r="D55" t="s">
        <v>197</v>
      </c>
      <c r="E55" t="s">
        <v>198</v>
      </c>
      <c r="F55" t="s">
        <v>81</v>
      </c>
      <c r="G55" t="s">
        <v>360</v>
      </c>
      <c r="H55" t="s">
        <v>362</v>
      </c>
      <c r="I55" s="2">
        <v>1</v>
      </c>
      <c r="J55" s="2">
        <v>0.7</v>
      </c>
      <c r="K55" s="2">
        <v>0</v>
      </c>
      <c r="L55" s="2">
        <v>0.7</v>
      </c>
      <c r="M55" s="4">
        <f t="shared" si="4"/>
        <v>4</v>
      </c>
      <c r="N55" s="4">
        <f t="shared" si="5"/>
        <v>3</v>
      </c>
      <c r="O55" s="4">
        <f t="shared" si="6"/>
        <v>0</v>
      </c>
      <c r="P55" s="4">
        <f t="shared" si="8"/>
        <v>3</v>
      </c>
    </row>
    <row r="56" spans="1:16" x14ac:dyDescent="0.25">
      <c r="A56" t="s">
        <v>205</v>
      </c>
      <c r="B56" t="s">
        <v>35</v>
      </c>
      <c r="C56" t="s">
        <v>85</v>
      </c>
      <c r="D56" t="s">
        <v>15</v>
      </c>
      <c r="E56" t="s">
        <v>206</v>
      </c>
      <c r="F56" t="s">
        <v>87</v>
      </c>
      <c r="G56" t="s">
        <v>363</v>
      </c>
      <c r="H56" t="s">
        <v>358</v>
      </c>
      <c r="I56" s="2">
        <v>1</v>
      </c>
      <c r="J56" s="2">
        <v>0.7</v>
      </c>
      <c r="K56" s="2">
        <v>0</v>
      </c>
      <c r="L56" s="2">
        <v>0.7</v>
      </c>
      <c r="M56" s="4">
        <f t="shared" si="4"/>
        <v>4</v>
      </c>
      <c r="N56" s="4">
        <f t="shared" si="5"/>
        <v>3</v>
      </c>
      <c r="O56" s="4">
        <f t="shared" si="6"/>
        <v>0</v>
      </c>
      <c r="P56" s="4">
        <f t="shared" si="8"/>
        <v>3</v>
      </c>
    </row>
    <row r="57" spans="1:16" x14ac:dyDescent="0.25">
      <c r="A57" t="s">
        <v>207</v>
      </c>
      <c r="B57" t="s">
        <v>35</v>
      </c>
      <c r="C57" t="s">
        <v>171</v>
      </c>
      <c r="D57" t="s">
        <v>22</v>
      </c>
      <c r="E57" t="s">
        <v>208</v>
      </c>
      <c r="F57" t="s">
        <v>173</v>
      </c>
      <c r="G57" t="s">
        <v>372</v>
      </c>
      <c r="H57" t="s">
        <v>373</v>
      </c>
      <c r="I57" s="2">
        <v>1</v>
      </c>
      <c r="J57" s="2">
        <v>0.7</v>
      </c>
      <c r="K57" s="2">
        <v>0</v>
      </c>
      <c r="L57" s="2">
        <v>0.7</v>
      </c>
      <c r="M57" s="4">
        <f t="shared" si="4"/>
        <v>4</v>
      </c>
      <c r="N57" s="4">
        <f t="shared" si="5"/>
        <v>3</v>
      </c>
      <c r="O57" s="4">
        <f t="shared" si="6"/>
        <v>0</v>
      </c>
      <c r="P57" s="4">
        <f t="shared" si="8"/>
        <v>3</v>
      </c>
    </row>
    <row r="58" spans="1:16" x14ac:dyDescent="0.25">
      <c r="A58" t="s">
        <v>314</v>
      </c>
      <c r="B58" t="s">
        <v>35</v>
      </c>
      <c r="C58" t="s">
        <v>37</v>
      </c>
      <c r="D58" t="s">
        <v>315</v>
      </c>
      <c r="E58" t="s">
        <v>316</v>
      </c>
      <c r="F58" t="s">
        <v>40</v>
      </c>
      <c r="G58" t="s">
        <v>375</v>
      </c>
      <c r="H58" t="s">
        <v>357</v>
      </c>
      <c r="I58" s="2">
        <v>1</v>
      </c>
      <c r="J58" s="2">
        <v>0.7</v>
      </c>
      <c r="K58" s="2">
        <v>0</v>
      </c>
      <c r="L58" s="2">
        <v>0.7</v>
      </c>
      <c r="M58" s="4">
        <f t="shared" si="4"/>
        <v>4</v>
      </c>
      <c r="N58" s="4">
        <f t="shared" si="5"/>
        <v>3</v>
      </c>
      <c r="O58" s="4">
        <f t="shared" si="6"/>
        <v>0</v>
      </c>
      <c r="P58" s="4">
        <f t="shared" si="8"/>
        <v>3</v>
      </c>
    </row>
    <row r="59" spans="1:16" x14ac:dyDescent="0.25">
      <c r="A59" t="s">
        <v>153</v>
      </c>
      <c r="B59" t="s">
        <v>35</v>
      </c>
      <c r="C59" t="s">
        <v>154</v>
      </c>
      <c r="D59" t="s">
        <v>155</v>
      </c>
      <c r="E59" t="s">
        <v>156</v>
      </c>
      <c r="F59" t="s">
        <v>157</v>
      </c>
      <c r="G59" t="s">
        <v>360</v>
      </c>
      <c r="H59" t="s">
        <v>362</v>
      </c>
      <c r="I59" s="2">
        <v>1</v>
      </c>
      <c r="J59" s="2">
        <v>0.7</v>
      </c>
      <c r="K59" s="2">
        <v>0</v>
      </c>
      <c r="L59" s="2">
        <v>0.7</v>
      </c>
      <c r="M59" s="4">
        <f t="shared" si="4"/>
        <v>4</v>
      </c>
      <c r="N59" s="4">
        <f t="shared" si="5"/>
        <v>3</v>
      </c>
      <c r="O59" s="4">
        <f t="shared" si="6"/>
        <v>0</v>
      </c>
      <c r="P59" s="4">
        <f t="shared" si="8"/>
        <v>3</v>
      </c>
    </row>
    <row r="60" spans="1:16" x14ac:dyDescent="0.25">
      <c r="A60" t="s">
        <v>214</v>
      </c>
      <c r="B60" t="s">
        <v>35</v>
      </c>
      <c r="C60" t="s">
        <v>139</v>
      </c>
      <c r="D60" t="s">
        <v>30</v>
      </c>
      <c r="E60" t="s">
        <v>215</v>
      </c>
      <c r="F60" t="s">
        <v>142</v>
      </c>
      <c r="G60" t="s">
        <v>372</v>
      </c>
      <c r="H60" t="s">
        <v>373</v>
      </c>
      <c r="I60" s="2">
        <v>1</v>
      </c>
      <c r="J60" s="2">
        <v>0.7</v>
      </c>
      <c r="K60" s="2">
        <v>0.35</v>
      </c>
      <c r="L60" s="2">
        <v>0.7</v>
      </c>
      <c r="M60" s="4">
        <f t="shared" si="4"/>
        <v>4</v>
      </c>
      <c r="N60" s="4">
        <f t="shared" si="5"/>
        <v>3</v>
      </c>
      <c r="O60" s="4">
        <f t="shared" si="6"/>
        <v>2</v>
      </c>
      <c r="P60" s="4">
        <f t="shared" si="8"/>
        <v>3</v>
      </c>
    </row>
    <row r="61" spans="1:16" x14ac:dyDescent="0.25">
      <c r="A61" t="s">
        <v>285</v>
      </c>
      <c r="B61" t="s">
        <v>35</v>
      </c>
      <c r="C61" t="s">
        <v>239</v>
      </c>
      <c r="D61" t="s">
        <v>16</v>
      </c>
      <c r="E61" t="s">
        <v>286</v>
      </c>
      <c r="F61" t="s">
        <v>241</v>
      </c>
      <c r="G61" t="s">
        <v>361</v>
      </c>
      <c r="H61" t="s">
        <v>359</v>
      </c>
      <c r="I61" s="2">
        <v>0.7</v>
      </c>
      <c r="J61" s="2">
        <v>1</v>
      </c>
      <c r="K61" s="2">
        <v>0</v>
      </c>
      <c r="L61" s="2">
        <v>1</v>
      </c>
      <c r="M61" s="4">
        <f t="shared" si="4"/>
        <v>3</v>
      </c>
      <c r="N61" s="4">
        <f t="shared" si="5"/>
        <v>4</v>
      </c>
      <c r="O61" s="4">
        <f t="shared" si="6"/>
        <v>0</v>
      </c>
      <c r="P61" s="4">
        <f t="shared" si="8"/>
        <v>4</v>
      </c>
    </row>
    <row r="62" spans="1:16" x14ac:dyDescent="0.25">
      <c r="A62" t="s">
        <v>216</v>
      </c>
      <c r="B62" t="s">
        <v>35</v>
      </c>
      <c r="C62" t="s">
        <v>117</v>
      </c>
      <c r="D62" t="s">
        <v>217</v>
      </c>
      <c r="E62" t="s">
        <v>208</v>
      </c>
      <c r="F62" t="s">
        <v>120</v>
      </c>
      <c r="G62" t="s">
        <v>372</v>
      </c>
      <c r="H62" t="s">
        <v>373</v>
      </c>
      <c r="I62" s="2">
        <v>0.7</v>
      </c>
      <c r="J62" s="2">
        <v>1</v>
      </c>
      <c r="K62" s="2">
        <v>0</v>
      </c>
      <c r="L62" s="2">
        <v>0.7</v>
      </c>
      <c r="M62" s="4">
        <f t="shared" si="4"/>
        <v>3</v>
      </c>
      <c r="N62" s="4">
        <f t="shared" si="5"/>
        <v>4</v>
      </c>
      <c r="O62" s="4">
        <f t="shared" si="6"/>
        <v>0</v>
      </c>
      <c r="P62" s="4">
        <f t="shared" si="8"/>
        <v>3</v>
      </c>
    </row>
    <row r="63" spans="1:16" x14ac:dyDescent="0.25">
      <c r="A63" t="s">
        <v>255</v>
      </c>
      <c r="B63" t="s">
        <v>35</v>
      </c>
      <c r="C63" t="s">
        <v>239</v>
      </c>
      <c r="D63" t="s">
        <v>17</v>
      </c>
      <c r="E63" t="s">
        <v>256</v>
      </c>
      <c r="F63" t="s">
        <v>241</v>
      </c>
      <c r="G63" t="s">
        <v>372</v>
      </c>
      <c r="H63" t="s">
        <v>373</v>
      </c>
      <c r="I63" s="2">
        <v>0.7</v>
      </c>
      <c r="J63" s="2">
        <v>1</v>
      </c>
      <c r="K63" s="2">
        <v>0</v>
      </c>
      <c r="L63" s="2">
        <v>0.7</v>
      </c>
      <c r="M63" s="4">
        <f t="shared" si="4"/>
        <v>3</v>
      </c>
      <c r="N63" s="4">
        <f t="shared" si="5"/>
        <v>4</v>
      </c>
      <c r="O63" s="4">
        <f t="shared" si="6"/>
        <v>0</v>
      </c>
      <c r="P63" s="4">
        <f t="shared" si="8"/>
        <v>3</v>
      </c>
    </row>
    <row r="64" spans="1:16" x14ac:dyDescent="0.25">
      <c r="A64" t="s">
        <v>271</v>
      </c>
      <c r="B64" t="s">
        <v>35</v>
      </c>
      <c r="C64" t="s">
        <v>272</v>
      </c>
      <c r="D64" t="s">
        <v>31</v>
      </c>
      <c r="E64" t="s">
        <v>273</v>
      </c>
      <c r="F64" t="s">
        <v>274</v>
      </c>
      <c r="G64" t="s">
        <v>361</v>
      </c>
      <c r="H64" t="s">
        <v>359</v>
      </c>
      <c r="I64" s="2">
        <v>1</v>
      </c>
      <c r="J64" s="2">
        <v>0.7</v>
      </c>
      <c r="K64" s="2">
        <v>0</v>
      </c>
      <c r="L64" s="2">
        <v>0.7</v>
      </c>
      <c r="M64" s="4">
        <f t="shared" si="4"/>
        <v>4</v>
      </c>
      <c r="N64" s="4">
        <f t="shared" si="5"/>
        <v>3</v>
      </c>
      <c r="O64" s="4">
        <f t="shared" si="6"/>
        <v>0</v>
      </c>
      <c r="P64" s="4">
        <f t="shared" si="8"/>
        <v>3</v>
      </c>
    </row>
    <row r="65" spans="1:16" x14ac:dyDescent="0.25">
      <c r="A65" t="s">
        <v>322</v>
      </c>
      <c r="B65" t="s">
        <v>35</v>
      </c>
      <c r="C65" t="s">
        <v>288</v>
      </c>
      <c r="D65" t="s">
        <v>323</v>
      </c>
      <c r="E65" t="s">
        <v>324</v>
      </c>
      <c r="F65" t="s">
        <v>291</v>
      </c>
      <c r="G65" t="s">
        <v>374</v>
      </c>
      <c r="H65" t="s">
        <v>371</v>
      </c>
      <c r="I65" s="2">
        <v>1</v>
      </c>
      <c r="J65" s="2">
        <v>0.7</v>
      </c>
      <c r="K65" s="2">
        <v>0</v>
      </c>
      <c r="L65" s="2">
        <v>0.7</v>
      </c>
      <c r="M65" s="4">
        <f t="shared" si="4"/>
        <v>4</v>
      </c>
      <c r="N65" s="4">
        <f t="shared" si="5"/>
        <v>3</v>
      </c>
      <c r="O65" s="4">
        <f t="shared" si="6"/>
        <v>0</v>
      </c>
      <c r="P65" s="4">
        <f t="shared" si="8"/>
        <v>3</v>
      </c>
    </row>
    <row r="66" spans="1:16" x14ac:dyDescent="0.25">
      <c r="A66" t="s">
        <v>190</v>
      </c>
      <c r="B66" t="s">
        <v>35</v>
      </c>
      <c r="C66" t="s">
        <v>37</v>
      </c>
      <c r="D66" t="s">
        <v>191</v>
      </c>
      <c r="E66" t="s">
        <v>192</v>
      </c>
      <c r="F66" t="s">
        <v>40</v>
      </c>
      <c r="G66" t="s">
        <v>369</v>
      </c>
      <c r="H66" t="s">
        <v>362</v>
      </c>
      <c r="I66" s="2">
        <v>1</v>
      </c>
      <c r="J66" s="2">
        <v>0.7</v>
      </c>
      <c r="K66" s="2">
        <v>0</v>
      </c>
      <c r="L66" s="2">
        <v>0.7</v>
      </c>
      <c r="M66" s="4">
        <f t="shared" ref="M66:M91" si="9">IF(I66=1,4,IF(I66=0.7,3,IF(I66=0.35,2,IF(I66=0.1,1,0))))</f>
        <v>4</v>
      </c>
      <c r="N66" s="4">
        <f t="shared" ref="N66:N91" si="10">IF(J66=1,4,IF(J66=0.7,3,IF(J66=0.35,2,IF(J66=0.1,1,0))))</f>
        <v>3</v>
      </c>
      <c r="O66" s="4">
        <f t="shared" ref="O66:O91" si="11">IF(K66=1,4,IF(K66=0.7,3,IF(K66=0.35,2,IF(K66=0.1,1,0))))</f>
        <v>0</v>
      </c>
      <c r="P66" s="4">
        <f t="shared" si="8"/>
        <v>3</v>
      </c>
    </row>
    <row r="67" spans="1:16" x14ac:dyDescent="0.25">
      <c r="A67" t="s">
        <v>193</v>
      </c>
      <c r="B67" t="s">
        <v>35</v>
      </c>
      <c r="C67" t="s">
        <v>37</v>
      </c>
      <c r="D67" t="s">
        <v>194</v>
      </c>
      <c r="E67" t="s">
        <v>195</v>
      </c>
      <c r="F67" t="s">
        <v>81</v>
      </c>
      <c r="G67" t="s">
        <v>370</v>
      </c>
      <c r="H67" t="s">
        <v>367</v>
      </c>
      <c r="I67" s="2">
        <v>1</v>
      </c>
      <c r="J67" s="2">
        <v>0.7</v>
      </c>
      <c r="K67" s="2">
        <v>0</v>
      </c>
      <c r="L67" s="2">
        <v>0.7</v>
      </c>
      <c r="M67" s="4">
        <f t="shared" si="9"/>
        <v>4</v>
      </c>
      <c r="N67" s="4">
        <f t="shared" si="10"/>
        <v>3</v>
      </c>
      <c r="O67" s="4">
        <f t="shared" si="11"/>
        <v>0</v>
      </c>
      <c r="P67" s="4">
        <f t="shared" si="8"/>
        <v>3</v>
      </c>
    </row>
    <row r="68" spans="1:16" x14ac:dyDescent="0.25">
      <c r="A68" t="s">
        <v>228</v>
      </c>
      <c r="B68" t="s">
        <v>35</v>
      </c>
      <c r="C68" t="s">
        <v>229</v>
      </c>
      <c r="D68" t="s">
        <v>230</v>
      </c>
      <c r="E68" t="s">
        <v>231</v>
      </c>
      <c r="F68" t="s">
        <v>232</v>
      </c>
      <c r="G68" t="s">
        <v>363</v>
      </c>
      <c r="H68" t="s">
        <v>359</v>
      </c>
      <c r="I68" s="2">
        <v>1</v>
      </c>
      <c r="J68" s="2">
        <v>1</v>
      </c>
      <c r="K68" s="2">
        <v>0</v>
      </c>
      <c r="L68" s="2">
        <v>0.35</v>
      </c>
      <c r="M68" s="4">
        <f t="shared" si="9"/>
        <v>4</v>
      </c>
      <c r="N68" s="4">
        <f t="shared" si="10"/>
        <v>4</v>
      </c>
      <c r="O68" s="4">
        <f t="shared" si="11"/>
        <v>0</v>
      </c>
      <c r="P68" s="4">
        <f t="shared" si="8"/>
        <v>2</v>
      </c>
    </row>
    <row r="69" spans="1:16" x14ac:dyDescent="0.25">
      <c r="A69" t="s">
        <v>233</v>
      </c>
      <c r="B69" t="s">
        <v>35</v>
      </c>
      <c r="C69" t="s">
        <v>234</v>
      </c>
      <c r="D69" t="s">
        <v>235</v>
      </c>
      <c r="E69" t="s">
        <v>236</v>
      </c>
      <c r="F69" t="s">
        <v>237</v>
      </c>
      <c r="G69" t="s">
        <v>372</v>
      </c>
      <c r="H69" t="s">
        <v>373</v>
      </c>
      <c r="I69" s="2">
        <v>0.7</v>
      </c>
      <c r="J69" s="2">
        <v>1</v>
      </c>
      <c r="K69" s="2">
        <v>0</v>
      </c>
      <c r="L69" s="2">
        <v>0.7</v>
      </c>
      <c r="M69" s="4">
        <f t="shared" si="9"/>
        <v>3</v>
      </c>
      <c r="N69" s="4">
        <f t="shared" si="10"/>
        <v>4</v>
      </c>
      <c r="O69" s="4">
        <f t="shared" si="11"/>
        <v>0</v>
      </c>
      <c r="P69" s="4">
        <f t="shared" si="8"/>
        <v>3</v>
      </c>
    </row>
    <row r="70" spans="1:16" x14ac:dyDescent="0.25">
      <c r="A70" t="s">
        <v>244</v>
      </c>
      <c r="B70" t="s">
        <v>35</v>
      </c>
      <c r="C70" t="s">
        <v>245</v>
      </c>
      <c r="D70" t="s">
        <v>246</v>
      </c>
      <c r="E70" t="s">
        <v>247</v>
      </c>
      <c r="F70" t="s">
        <v>248</v>
      </c>
      <c r="G70" t="s">
        <v>374</v>
      </c>
      <c r="H70" t="s">
        <v>362</v>
      </c>
      <c r="I70" s="2">
        <v>0.7</v>
      </c>
      <c r="J70" s="2">
        <v>1</v>
      </c>
      <c r="K70" s="2">
        <v>0</v>
      </c>
      <c r="L70" s="2">
        <v>0.7</v>
      </c>
      <c r="M70" s="4">
        <f t="shared" si="9"/>
        <v>3</v>
      </c>
      <c r="N70" s="4">
        <f t="shared" si="10"/>
        <v>4</v>
      </c>
      <c r="O70" s="4">
        <f t="shared" si="11"/>
        <v>0</v>
      </c>
      <c r="P70" s="4">
        <f t="shared" si="8"/>
        <v>3</v>
      </c>
    </row>
    <row r="71" spans="1:16" x14ac:dyDescent="0.25">
      <c r="A71" t="s">
        <v>307</v>
      </c>
      <c r="B71" t="s">
        <v>35</v>
      </c>
      <c r="C71" t="s">
        <v>267</v>
      </c>
      <c r="D71" t="s">
        <v>308</v>
      </c>
      <c r="E71" t="s">
        <v>208</v>
      </c>
      <c r="F71" t="s">
        <v>270</v>
      </c>
      <c r="G71" t="s">
        <v>372</v>
      </c>
      <c r="H71" t="s">
        <v>373</v>
      </c>
      <c r="I71" s="2">
        <v>0.7</v>
      </c>
      <c r="J71" s="2">
        <v>1</v>
      </c>
      <c r="K71" s="2">
        <v>0</v>
      </c>
      <c r="L71" s="2">
        <v>0.7</v>
      </c>
      <c r="M71" s="4">
        <f t="shared" si="9"/>
        <v>3</v>
      </c>
      <c r="N71" s="4">
        <f t="shared" si="10"/>
        <v>4</v>
      </c>
      <c r="O71" s="4">
        <f t="shared" si="11"/>
        <v>0</v>
      </c>
      <c r="P71" s="4">
        <f t="shared" si="8"/>
        <v>3</v>
      </c>
    </row>
    <row r="72" spans="1:16" x14ac:dyDescent="0.25">
      <c r="A72" t="s">
        <v>251</v>
      </c>
      <c r="B72" t="s">
        <v>35</v>
      </c>
      <c r="C72" t="s">
        <v>219</v>
      </c>
      <c r="D72" t="s">
        <v>252</v>
      </c>
      <c r="E72" t="s">
        <v>208</v>
      </c>
      <c r="F72" t="s">
        <v>221</v>
      </c>
      <c r="G72" t="s">
        <v>372</v>
      </c>
      <c r="H72" t="s">
        <v>373</v>
      </c>
      <c r="I72" s="2">
        <v>0.7</v>
      </c>
      <c r="J72" s="2">
        <v>0.7</v>
      </c>
      <c r="K72" s="2">
        <v>0</v>
      </c>
      <c r="L72" s="2">
        <v>0.7</v>
      </c>
      <c r="M72" s="4">
        <f t="shared" si="9"/>
        <v>3</v>
      </c>
      <c r="N72" s="4">
        <f t="shared" si="10"/>
        <v>3</v>
      </c>
      <c r="O72" s="4">
        <f t="shared" si="11"/>
        <v>0</v>
      </c>
      <c r="P72" s="4">
        <f t="shared" si="8"/>
        <v>3</v>
      </c>
    </row>
    <row r="73" spans="1:16" x14ac:dyDescent="0.25">
      <c r="A73" t="s">
        <v>218</v>
      </c>
      <c r="B73" t="s">
        <v>35</v>
      </c>
      <c r="C73" t="s">
        <v>219</v>
      </c>
      <c r="D73" t="s">
        <v>29</v>
      </c>
      <c r="E73" t="s">
        <v>220</v>
      </c>
      <c r="F73" t="s">
        <v>221</v>
      </c>
      <c r="G73" t="s">
        <v>372</v>
      </c>
      <c r="H73" t="s">
        <v>373</v>
      </c>
      <c r="I73" s="2">
        <v>0.7</v>
      </c>
      <c r="J73" s="2">
        <v>0.7</v>
      </c>
      <c r="K73" s="2">
        <v>0</v>
      </c>
      <c r="L73" s="2">
        <v>0.7</v>
      </c>
      <c r="M73" s="4">
        <f t="shared" si="9"/>
        <v>3</v>
      </c>
      <c r="N73" s="4">
        <f t="shared" si="10"/>
        <v>3</v>
      </c>
      <c r="O73" s="4">
        <f t="shared" si="11"/>
        <v>0</v>
      </c>
      <c r="P73" s="4">
        <f t="shared" si="8"/>
        <v>3</v>
      </c>
    </row>
    <row r="74" spans="1:16" x14ac:dyDescent="0.25">
      <c r="A74" t="s">
        <v>253</v>
      </c>
      <c r="B74" t="s">
        <v>35</v>
      </c>
      <c r="C74" t="s">
        <v>245</v>
      </c>
      <c r="D74" t="s">
        <v>13</v>
      </c>
      <c r="E74" t="s">
        <v>254</v>
      </c>
      <c r="F74" t="s">
        <v>248</v>
      </c>
      <c r="G74" t="s">
        <v>374</v>
      </c>
      <c r="H74" t="s">
        <v>362</v>
      </c>
      <c r="I74" s="2">
        <v>0.7</v>
      </c>
      <c r="J74" s="2">
        <v>0.7</v>
      </c>
      <c r="K74" s="2">
        <v>0</v>
      </c>
      <c r="L74" s="2">
        <v>0.7</v>
      </c>
      <c r="M74" s="4">
        <f t="shared" si="9"/>
        <v>3</v>
      </c>
      <c r="N74" s="4">
        <f t="shared" si="10"/>
        <v>3</v>
      </c>
      <c r="O74" s="4">
        <f t="shared" si="11"/>
        <v>0</v>
      </c>
      <c r="P74" s="4">
        <f t="shared" si="8"/>
        <v>3</v>
      </c>
    </row>
    <row r="75" spans="1:16" x14ac:dyDescent="0.25">
      <c r="A75" t="s">
        <v>275</v>
      </c>
      <c r="B75" t="s">
        <v>35</v>
      </c>
      <c r="C75" t="s">
        <v>245</v>
      </c>
      <c r="D75" t="s">
        <v>24</v>
      </c>
      <c r="E75" t="s">
        <v>276</v>
      </c>
      <c r="F75" t="s">
        <v>248</v>
      </c>
      <c r="G75" t="s">
        <v>374</v>
      </c>
      <c r="H75" t="s">
        <v>362</v>
      </c>
      <c r="I75" s="2">
        <v>0.7</v>
      </c>
      <c r="J75" s="2">
        <v>0.7</v>
      </c>
      <c r="K75" s="2">
        <v>0.1</v>
      </c>
      <c r="L75" s="2">
        <v>0.7</v>
      </c>
      <c r="M75" s="4">
        <f t="shared" si="9"/>
        <v>3</v>
      </c>
      <c r="N75" s="4">
        <f t="shared" si="10"/>
        <v>3</v>
      </c>
      <c r="O75" s="4">
        <f t="shared" si="11"/>
        <v>1</v>
      </c>
      <c r="P75" s="4">
        <f t="shared" ref="P75:P91" si="12">IF(L75=1,4,IF(L75=0.7,3,IF(L75=0.35,2,IF(L75=0.1,1,0))))</f>
        <v>3</v>
      </c>
    </row>
    <row r="76" spans="1:16" x14ac:dyDescent="0.25">
      <c r="A76" t="s">
        <v>257</v>
      </c>
      <c r="B76" t="s">
        <v>35</v>
      </c>
      <c r="C76" t="s">
        <v>258</v>
      </c>
      <c r="D76" t="s">
        <v>259</v>
      </c>
      <c r="E76" t="s">
        <v>260</v>
      </c>
      <c r="F76" t="s">
        <v>261</v>
      </c>
      <c r="G76" t="s">
        <v>361</v>
      </c>
      <c r="H76" t="s">
        <v>359</v>
      </c>
      <c r="I76" s="2">
        <v>0.7</v>
      </c>
      <c r="J76" s="2">
        <v>0.7</v>
      </c>
      <c r="K76" s="2">
        <v>0</v>
      </c>
      <c r="L76" s="2">
        <v>0.7</v>
      </c>
      <c r="M76" s="4">
        <f t="shared" si="9"/>
        <v>3</v>
      </c>
      <c r="N76" s="4">
        <f t="shared" si="10"/>
        <v>3</v>
      </c>
      <c r="O76" s="4">
        <f t="shared" si="11"/>
        <v>0</v>
      </c>
      <c r="P76" s="4">
        <f t="shared" si="12"/>
        <v>3</v>
      </c>
    </row>
    <row r="77" spans="1:16" x14ac:dyDescent="0.25">
      <c r="A77" t="s">
        <v>262</v>
      </c>
      <c r="B77" t="s">
        <v>35</v>
      </c>
      <c r="C77" t="s">
        <v>263</v>
      </c>
      <c r="D77" t="s">
        <v>264</v>
      </c>
      <c r="E77" t="s">
        <v>208</v>
      </c>
      <c r="F77" t="s">
        <v>265</v>
      </c>
      <c r="G77" t="s">
        <v>372</v>
      </c>
      <c r="H77" t="s">
        <v>373</v>
      </c>
      <c r="I77" s="2">
        <v>0.7</v>
      </c>
      <c r="J77" s="2">
        <v>0.7</v>
      </c>
      <c r="K77" s="2">
        <v>0.1</v>
      </c>
      <c r="L77" s="2">
        <v>0.7</v>
      </c>
      <c r="M77" s="4">
        <f t="shared" si="9"/>
        <v>3</v>
      </c>
      <c r="N77" s="4">
        <f t="shared" si="10"/>
        <v>3</v>
      </c>
      <c r="O77" s="4">
        <f t="shared" si="11"/>
        <v>1</v>
      </c>
      <c r="P77" s="4">
        <f t="shared" si="12"/>
        <v>3</v>
      </c>
    </row>
    <row r="78" spans="1:16" x14ac:dyDescent="0.25">
      <c r="A78" t="s">
        <v>328</v>
      </c>
      <c r="B78" t="s">
        <v>35</v>
      </c>
      <c r="C78" t="s">
        <v>329</v>
      </c>
      <c r="D78" t="s">
        <v>330</v>
      </c>
      <c r="E78" t="s">
        <v>331</v>
      </c>
      <c r="F78" t="s">
        <v>332</v>
      </c>
      <c r="G78" t="s">
        <v>361</v>
      </c>
      <c r="H78" t="s">
        <v>359</v>
      </c>
      <c r="I78" s="2">
        <v>0.7</v>
      </c>
      <c r="J78" s="2">
        <v>0.7</v>
      </c>
      <c r="K78" s="2">
        <v>0</v>
      </c>
      <c r="L78" s="2">
        <v>0.7</v>
      </c>
      <c r="M78" s="4">
        <f t="shared" si="9"/>
        <v>3</v>
      </c>
      <c r="N78" s="4">
        <f t="shared" si="10"/>
        <v>3</v>
      </c>
      <c r="O78" s="4">
        <f t="shared" si="11"/>
        <v>0</v>
      </c>
      <c r="P78" s="4">
        <f t="shared" si="12"/>
        <v>3</v>
      </c>
    </row>
    <row r="79" spans="1:16" x14ac:dyDescent="0.25">
      <c r="A79" t="s">
        <v>333</v>
      </c>
      <c r="B79" t="s">
        <v>35</v>
      </c>
      <c r="C79" t="s">
        <v>64</v>
      </c>
      <c r="D79" t="s">
        <v>334</v>
      </c>
      <c r="E79" t="s">
        <v>335</v>
      </c>
      <c r="F79" t="s">
        <v>67</v>
      </c>
      <c r="G79" t="s">
        <v>372</v>
      </c>
      <c r="H79" t="s">
        <v>373</v>
      </c>
      <c r="I79" s="2">
        <v>0.7</v>
      </c>
      <c r="J79" s="2">
        <v>0.7</v>
      </c>
      <c r="K79" s="2">
        <v>0</v>
      </c>
      <c r="L79" s="2">
        <v>0.7</v>
      </c>
      <c r="M79" s="4">
        <f t="shared" si="9"/>
        <v>3</v>
      </c>
      <c r="N79" s="4">
        <f t="shared" si="10"/>
        <v>3</v>
      </c>
      <c r="O79" s="4">
        <f t="shared" si="11"/>
        <v>0</v>
      </c>
      <c r="P79" s="4">
        <f t="shared" si="12"/>
        <v>3</v>
      </c>
    </row>
    <row r="80" spans="1:16" x14ac:dyDescent="0.25">
      <c r="A80" t="s">
        <v>277</v>
      </c>
      <c r="B80" t="s">
        <v>35</v>
      </c>
      <c r="C80" t="s">
        <v>154</v>
      </c>
      <c r="D80" t="s">
        <v>278</v>
      </c>
      <c r="E80" t="s">
        <v>279</v>
      </c>
      <c r="F80" t="s">
        <v>157</v>
      </c>
      <c r="G80" t="s">
        <v>372</v>
      </c>
      <c r="H80" t="s">
        <v>359</v>
      </c>
      <c r="I80" s="2">
        <v>0.7</v>
      </c>
      <c r="J80" s="2">
        <v>0.7</v>
      </c>
      <c r="K80" s="2">
        <v>0</v>
      </c>
      <c r="L80" s="2">
        <v>0.7</v>
      </c>
      <c r="M80" s="4">
        <f t="shared" si="9"/>
        <v>3</v>
      </c>
      <c r="N80" s="4">
        <f t="shared" si="10"/>
        <v>3</v>
      </c>
      <c r="O80" s="4">
        <f t="shared" si="11"/>
        <v>0</v>
      </c>
      <c r="P80" s="4">
        <f t="shared" si="12"/>
        <v>3</v>
      </c>
    </row>
    <row r="81" spans="1:16" x14ac:dyDescent="0.25">
      <c r="A81" t="s">
        <v>179</v>
      </c>
      <c r="B81" t="s">
        <v>35</v>
      </c>
      <c r="C81" t="s">
        <v>180</v>
      </c>
      <c r="D81" t="s">
        <v>181</v>
      </c>
      <c r="E81" t="s">
        <v>182</v>
      </c>
      <c r="F81" t="s">
        <v>183</v>
      </c>
      <c r="G81" t="s">
        <v>364</v>
      </c>
      <c r="H81" t="s">
        <v>362</v>
      </c>
      <c r="I81" s="2">
        <v>0.7</v>
      </c>
      <c r="J81" s="2">
        <v>0.7</v>
      </c>
      <c r="K81" s="2">
        <v>0</v>
      </c>
      <c r="L81" s="2">
        <v>0.7</v>
      </c>
      <c r="M81" s="4">
        <f t="shared" si="9"/>
        <v>3</v>
      </c>
      <c r="N81" s="4">
        <f t="shared" si="10"/>
        <v>3</v>
      </c>
      <c r="O81" s="4">
        <f t="shared" si="11"/>
        <v>0</v>
      </c>
      <c r="P81" s="4">
        <f t="shared" si="12"/>
        <v>3</v>
      </c>
    </row>
    <row r="82" spans="1:16" x14ac:dyDescent="0.25">
      <c r="A82" t="s">
        <v>325</v>
      </c>
      <c r="B82" t="s">
        <v>35</v>
      </c>
      <c r="C82" t="s">
        <v>103</v>
      </c>
      <c r="D82" t="s">
        <v>326</v>
      </c>
      <c r="E82" t="s">
        <v>327</v>
      </c>
      <c r="F82" t="s">
        <v>106</v>
      </c>
      <c r="G82" t="s">
        <v>361</v>
      </c>
      <c r="H82" t="s">
        <v>357</v>
      </c>
      <c r="I82" s="2">
        <v>0.7</v>
      </c>
      <c r="J82" s="2">
        <v>1</v>
      </c>
      <c r="K82" s="2">
        <v>0</v>
      </c>
      <c r="L82" s="2">
        <v>0.7</v>
      </c>
      <c r="M82" s="4">
        <f t="shared" si="9"/>
        <v>3</v>
      </c>
      <c r="N82" s="4">
        <f t="shared" si="10"/>
        <v>4</v>
      </c>
      <c r="O82" s="4">
        <f t="shared" si="11"/>
        <v>0</v>
      </c>
      <c r="P82" s="4">
        <f t="shared" si="12"/>
        <v>3</v>
      </c>
    </row>
    <row r="83" spans="1:16" x14ac:dyDescent="0.25">
      <c r="A83" t="s">
        <v>292</v>
      </c>
      <c r="B83" t="s">
        <v>35</v>
      </c>
      <c r="C83" t="s">
        <v>293</v>
      </c>
      <c r="D83" t="s">
        <v>294</v>
      </c>
      <c r="E83" t="s">
        <v>295</v>
      </c>
      <c r="F83" t="s">
        <v>296</v>
      </c>
      <c r="G83" t="s">
        <v>372</v>
      </c>
      <c r="H83" t="s">
        <v>373</v>
      </c>
      <c r="I83" s="2">
        <v>0.7</v>
      </c>
      <c r="J83" s="2">
        <v>0.7</v>
      </c>
      <c r="K83" s="2">
        <v>0</v>
      </c>
      <c r="L83" s="2">
        <v>0.7</v>
      </c>
      <c r="M83" s="4">
        <f t="shared" si="9"/>
        <v>3</v>
      </c>
      <c r="N83" s="4">
        <f t="shared" si="10"/>
        <v>3</v>
      </c>
      <c r="O83" s="4">
        <f t="shared" si="11"/>
        <v>0</v>
      </c>
      <c r="P83" s="4">
        <f t="shared" si="12"/>
        <v>3</v>
      </c>
    </row>
    <row r="84" spans="1:16" x14ac:dyDescent="0.25">
      <c r="A84" t="s">
        <v>297</v>
      </c>
      <c r="B84" t="s">
        <v>35</v>
      </c>
      <c r="C84" t="s">
        <v>293</v>
      </c>
      <c r="D84" t="s">
        <v>298</v>
      </c>
      <c r="E84" t="s">
        <v>295</v>
      </c>
      <c r="F84" t="s">
        <v>296</v>
      </c>
      <c r="G84" t="s">
        <v>372</v>
      </c>
      <c r="H84" t="s">
        <v>373</v>
      </c>
      <c r="I84" s="2">
        <v>0.7</v>
      </c>
      <c r="J84" s="2">
        <v>0.7</v>
      </c>
      <c r="K84" s="2">
        <v>0</v>
      </c>
      <c r="L84" s="2">
        <v>0.7</v>
      </c>
      <c r="M84" s="4">
        <f t="shared" si="9"/>
        <v>3</v>
      </c>
      <c r="N84" s="4">
        <f t="shared" si="10"/>
        <v>3</v>
      </c>
      <c r="O84" s="4">
        <f t="shared" si="11"/>
        <v>0</v>
      </c>
      <c r="P84" s="4">
        <f t="shared" si="12"/>
        <v>3</v>
      </c>
    </row>
    <row r="85" spans="1:16" x14ac:dyDescent="0.25">
      <c r="A85" t="s">
        <v>299</v>
      </c>
      <c r="B85" t="s">
        <v>35</v>
      </c>
      <c r="C85" t="s">
        <v>180</v>
      </c>
      <c r="D85" t="s">
        <v>300</v>
      </c>
      <c r="E85" t="s">
        <v>301</v>
      </c>
      <c r="F85" t="s">
        <v>183</v>
      </c>
      <c r="G85" t="s">
        <v>372</v>
      </c>
      <c r="H85" t="s">
        <v>373</v>
      </c>
      <c r="I85" s="2">
        <v>0.7</v>
      </c>
      <c r="J85" s="2">
        <v>0.7</v>
      </c>
      <c r="K85" s="2">
        <v>0.1</v>
      </c>
      <c r="L85" s="2">
        <v>0.7</v>
      </c>
      <c r="M85" s="4">
        <f t="shared" si="9"/>
        <v>3</v>
      </c>
      <c r="N85" s="4">
        <f t="shared" si="10"/>
        <v>3</v>
      </c>
      <c r="O85" s="4">
        <f t="shared" si="11"/>
        <v>1</v>
      </c>
      <c r="P85" s="4">
        <f t="shared" si="12"/>
        <v>3</v>
      </c>
    </row>
    <row r="86" spans="1:16" x14ac:dyDescent="0.25">
      <c r="A86" t="s">
        <v>346</v>
      </c>
      <c r="B86" t="s">
        <v>35</v>
      </c>
      <c r="C86" t="s">
        <v>42</v>
      </c>
      <c r="D86" t="s">
        <v>347</v>
      </c>
      <c r="E86" t="s">
        <v>348</v>
      </c>
      <c r="F86" t="s">
        <v>45</v>
      </c>
      <c r="G86" t="s">
        <v>368</v>
      </c>
      <c r="H86" t="s">
        <v>362</v>
      </c>
      <c r="I86" s="2">
        <v>1</v>
      </c>
      <c r="J86" s="2">
        <v>0.7</v>
      </c>
      <c r="K86" s="2">
        <v>0</v>
      </c>
      <c r="L86" s="2">
        <v>0.35</v>
      </c>
      <c r="M86" s="4">
        <f t="shared" si="9"/>
        <v>4</v>
      </c>
      <c r="N86" s="4">
        <f t="shared" si="10"/>
        <v>3</v>
      </c>
      <c r="O86" s="4">
        <f t="shared" si="11"/>
        <v>0</v>
      </c>
      <c r="P86" s="4">
        <f t="shared" si="12"/>
        <v>2</v>
      </c>
    </row>
    <row r="87" spans="1:16" x14ac:dyDescent="0.25">
      <c r="A87" t="s">
        <v>238</v>
      </c>
      <c r="B87" t="s">
        <v>35</v>
      </c>
      <c r="C87" t="s">
        <v>239</v>
      </c>
      <c r="D87" t="s">
        <v>18</v>
      </c>
      <c r="E87" t="s">
        <v>240</v>
      </c>
      <c r="F87" t="s">
        <v>241</v>
      </c>
      <c r="G87" t="s">
        <v>368</v>
      </c>
      <c r="H87" t="s">
        <v>359</v>
      </c>
      <c r="I87" s="2">
        <v>0.35</v>
      </c>
      <c r="J87" s="2">
        <v>1</v>
      </c>
      <c r="K87" s="2">
        <v>0.1</v>
      </c>
      <c r="L87" s="2">
        <v>0.7</v>
      </c>
      <c r="M87" s="4">
        <f t="shared" si="9"/>
        <v>2</v>
      </c>
      <c r="N87" s="4">
        <f t="shared" si="10"/>
        <v>4</v>
      </c>
      <c r="O87" s="4">
        <f t="shared" si="11"/>
        <v>1</v>
      </c>
      <c r="P87" s="4">
        <f t="shared" si="12"/>
        <v>3</v>
      </c>
    </row>
    <row r="88" spans="1:16" x14ac:dyDescent="0.25">
      <c r="A88" t="s">
        <v>336</v>
      </c>
      <c r="B88" t="s">
        <v>35</v>
      </c>
      <c r="C88" t="s">
        <v>229</v>
      </c>
      <c r="D88" t="s">
        <v>337</v>
      </c>
      <c r="E88" t="s">
        <v>338</v>
      </c>
      <c r="F88" t="s">
        <v>232</v>
      </c>
      <c r="G88" t="s">
        <v>361</v>
      </c>
      <c r="H88" t="s">
        <v>359</v>
      </c>
      <c r="I88" s="2">
        <v>1</v>
      </c>
      <c r="J88" s="2">
        <v>0.35</v>
      </c>
      <c r="K88" s="2">
        <v>0</v>
      </c>
      <c r="L88" s="2">
        <v>0.35</v>
      </c>
      <c r="M88" s="4">
        <f t="shared" si="9"/>
        <v>4</v>
      </c>
      <c r="N88" s="4">
        <f t="shared" si="10"/>
        <v>2</v>
      </c>
      <c r="O88" s="4">
        <f t="shared" si="11"/>
        <v>0</v>
      </c>
      <c r="P88" s="4">
        <f t="shared" si="12"/>
        <v>2</v>
      </c>
    </row>
    <row r="89" spans="1:16" x14ac:dyDescent="0.25">
      <c r="A89" t="s">
        <v>339</v>
      </c>
      <c r="B89" t="s">
        <v>35</v>
      </c>
      <c r="C89" t="s">
        <v>263</v>
      </c>
      <c r="D89" t="s">
        <v>340</v>
      </c>
      <c r="E89" t="s">
        <v>341</v>
      </c>
      <c r="F89" t="s">
        <v>265</v>
      </c>
      <c r="G89" t="s">
        <v>366</v>
      </c>
      <c r="H89" t="s">
        <v>359</v>
      </c>
      <c r="I89" s="2">
        <v>0.7</v>
      </c>
      <c r="J89" s="2">
        <v>0.7</v>
      </c>
      <c r="K89" s="2">
        <v>0</v>
      </c>
      <c r="L89" s="2">
        <v>0.35</v>
      </c>
      <c r="M89" s="4">
        <f t="shared" si="9"/>
        <v>3</v>
      </c>
      <c r="N89" s="4">
        <f t="shared" si="10"/>
        <v>3</v>
      </c>
      <c r="O89" s="4">
        <f t="shared" si="11"/>
        <v>0</v>
      </c>
      <c r="P89" s="4">
        <f t="shared" si="12"/>
        <v>2</v>
      </c>
    </row>
    <row r="90" spans="1:16" x14ac:dyDescent="0.25">
      <c r="A90" t="s">
        <v>349</v>
      </c>
      <c r="B90" t="s">
        <v>35</v>
      </c>
      <c r="C90" t="s">
        <v>350</v>
      </c>
      <c r="D90" t="s">
        <v>351</v>
      </c>
      <c r="E90" t="s">
        <v>208</v>
      </c>
      <c r="F90" t="s">
        <v>352</v>
      </c>
      <c r="G90" t="s">
        <v>372</v>
      </c>
      <c r="H90" t="s">
        <v>373</v>
      </c>
      <c r="I90" s="2">
        <v>0.7</v>
      </c>
      <c r="J90" s="2">
        <v>0.1</v>
      </c>
      <c r="K90" s="2">
        <v>0</v>
      </c>
      <c r="L90" s="2">
        <v>0.7</v>
      </c>
      <c r="M90" s="4">
        <f t="shared" si="9"/>
        <v>3</v>
      </c>
      <c r="N90" s="4">
        <f t="shared" si="10"/>
        <v>1</v>
      </c>
      <c r="O90" s="4">
        <f t="shared" si="11"/>
        <v>0</v>
      </c>
      <c r="P90" s="4">
        <f t="shared" si="12"/>
        <v>3</v>
      </c>
    </row>
    <row r="91" spans="1:16" x14ac:dyDescent="0.25">
      <c r="A91" t="s">
        <v>342</v>
      </c>
      <c r="B91" t="s">
        <v>35</v>
      </c>
      <c r="C91" t="s">
        <v>343</v>
      </c>
      <c r="D91" t="s">
        <v>140</v>
      </c>
      <c r="E91" t="s">
        <v>344</v>
      </c>
      <c r="F91" t="s">
        <v>345</v>
      </c>
      <c r="G91" t="s">
        <v>372</v>
      </c>
      <c r="H91" t="s">
        <v>359</v>
      </c>
      <c r="I91" s="2">
        <v>0.7</v>
      </c>
      <c r="J91" s="2">
        <v>0.7</v>
      </c>
      <c r="K91" s="2">
        <v>0</v>
      </c>
      <c r="L91" s="2">
        <v>0.35</v>
      </c>
      <c r="M91" s="4">
        <f t="shared" si="9"/>
        <v>3</v>
      </c>
      <c r="N91" s="4">
        <f t="shared" si="10"/>
        <v>3</v>
      </c>
      <c r="O91" s="4">
        <f t="shared" si="11"/>
        <v>0</v>
      </c>
      <c r="P91" s="4">
        <f t="shared" si="12"/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1"/>
  <sheetViews>
    <sheetView workbookViewId="0">
      <pane ySplit="1" topLeftCell="A2" activePane="bottomLeft" state="frozen"/>
      <selection pane="bottomLeft" activeCell="A2" sqref="A2"/>
    </sheetView>
  </sheetViews>
  <sheetFormatPr defaultColWidth="26.28515625" defaultRowHeight="15" x14ac:dyDescent="0.25"/>
  <cols>
    <col min="1" max="1" width="14.140625" bestFit="1" customWidth="1"/>
    <col min="2" max="2" width="15.140625" bestFit="1" customWidth="1"/>
    <col min="3" max="3" width="8.7109375" bestFit="1" customWidth="1"/>
    <col min="4" max="4" width="9.5703125" bestFit="1" customWidth="1"/>
    <col min="5" max="5" width="68.28515625" bestFit="1" customWidth="1"/>
    <col min="6" max="6" width="48" bestFit="1" customWidth="1"/>
    <col min="7" max="7" width="26.7109375" bestFit="1" customWidth="1"/>
    <col min="8" max="8" width="35" bestFit="1" customWidth="1"/>
    <col min="9" max="12" width="17.7109375" customWidth="1"/>
    <col min="13" max="16" width="10.7109375" customWidth="1"/>
  </cols>
  <sheetData>
    <row r="1" spans="1:16" x14ac:dyDescent="0.25">
      <c r="A1" s="6" t="s">
        <v>353</v>
      </c>
      <c r="B1" s="6" t="s">
        <v>354</v>
      </c>
      <c r="C1" s="6" t="s">
        <v>32</v>
      </c>
      <c r="D1" s="6" t="s">
        <v>9</v>
      </c>
      <c r="E1" s="6" t="s">
        <v>33</v>
      </c>
      <c r="F1" s="6" t="s">
        <v>34</v>
      </c>
      <c r="G1" s="6" t="s">
        <v>355</v>
      </c>
      <c r="H1" s="6" t="s">
        <v>356</v>
      </c>
      <c r="I1" s="1" t="s">
        <v>0</v>
      </c>
      <c r="J1" s="1" t="s">
        <v>1</v>
      </c>
      <c r="K1" s="1" t="s">
        <v>2</v>
      </c>
      <c r="L1" s="1" t="s">
        <v>3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 x14ac:dyDescent="0.25">
      <c r="A2" t="s">
        <v>78</v>
      </c>
      <c r="B2" t="s">
        <v>35</v>
      </c>
      <c r="C2" t="s">
        <v>37</v>
      </c>
      <c r="D2" t="s">
        <v>79</v>
      </c>
      <c r="E2" t="s">
        <v>80</v>
      </c>
      <c r="F2" t="s">
        <v>81</v>
      </c>
      <c r="G2" t="s">
        <v>366</v>
      </c>
      <c r="H2" t="s">
        <v>358</v>
      </c>
      <c r="I2" s="2">
        <v>1</v>
      </c>
      <c r="J2" s="2">
        <v>1</v>
      </c>
      <c r="K2" s="2">
        <v>0.7</v>
      </c>
      <c r="L2" s="2">
        <v>1</v>
      </c>
      <c r="M2" s="4">
        <f>IF(I2=1,4,IF(I2=0.7,3,IF(I2=0.35,2,IF(I2=0.1,1,0))))</f>
        <v>4</v>
      </c>
      <c r="N2" s="4">
        <f>IF(J2=1,4,IF(J2=0.7,3,IF(J2=0.35,2,IF(J2=0.1,1,0))))</f>
        <v>4</v>
      </c>
      <c r="O2" s="4">
        <f>IF(K2=1,4,IF(K2=0.7,3,IF(K2=0.35,2,IF(K2=0.1,1,0))))</f>
        <v>3</v>
      </c>
      <c r="P2" s="4">
        <f>IF(L2=1,4,IF(L2=0.7,3,IF(L2=0.35,2,IF(L2=0.1,1,0))))</f>
        <v>4</v>
      </c>
    </row>
    <row r="3" spans="1:16" x14ac:dyDescent="0.25">
      <c r="A3" t="s">
        <v>36</v>
      </c>
      <c r="B3" t="s">
        <v>35</v>
      </c>
      <c r="C3" t="s">
        <v>37</v>
      </c>
      <c r="D3" t="s">
        <v>38</v>
      </c>
      <c r="E3" t="s">
        <v>39</v>
      </c>
      <c r="F3" t="s">
        <v>40</v>
      </c>
      <c r="G3" t="s">
        <v>360</v>
      </c>
      <c r="H3" t="s">
        <v>357</v>
      </c>
      <c r="I3" s="2">
        <v>1</v>
      </c>
      <c r="J3" s="2">
        <v>1</v>
      </c>
      <c r="K3" s="2">
        <v>0</v>
      </c>
      <c r="L3" s="2">
        <v>1</v>
      </c>
      <c r="M3" s="4">
        <f t="shared" ref="M3:M34" si="0">IF(I3=1,4,IF(I3=0.7,3,IF(I3=0.35,2,IF(I3=0.1,1,0))))</f>
        <v>4</v>
      </c>
      <c r="N3" s="4">
        <f t="shared" ref="N3:N34" si="1">IF(J3=1,4,IF(J3=0.7,3,IF(J3=0.35,2,IF(J3=0.1,1,0))))</f>
        <v>4</v>
      </c>
      <c r="O3" s="4">
        <f t="shared" ref="O3:O34" si="2">IF(K3=1,4,IF(K3=0.7,3,IF(K3=0.35,2,IF(K3=0.1,1,0))))</f>
        <v>0</v>
      </c>
      <c r="P3" s="4">
        <f t="shared" ref="P3:P27" si="3">IF(L3=1,4,IF(L3=0.7,3,IF(L3=0.35,2,IF(L3=0.1,1,0))))</f>
        <v>4</v>
      </c>
    </row>
    <row r="4" spans="1:16" x14ac:dyDescent="0.25">
      <c r="A4" t="s">
        <v>41</v>
      </c>
      <c r="B4" t="s">
        <v>35</v>
      </c>
      <c r="C4" t="s">
        <v>42</v>
      </c>
      <c r="D4" t="s">
        <v>43</v>
      </c>
      <c r="E4" t="s">
        <v>44</v>
      </c>
      <c r="F4" t="s">
        <v>45</v>
      </c>
      <c r="G4" t="s">
        <v>360</v>
      </c>
      <c r="H4" t="s">
        <v>359</v>
      </c>
      <c r="I4" s="2">
        <v>1</v>
      </c>
      <c r="J4" s="2">
        <v>1</v>
      </c>
      <c r="K4" s="2">
        <v>0</v>
      </c>
      <c r="L4" s="2">
        <v>1</v>
      </c>
      <c r="M4" s="4">
        <f t="shared" si="0"/>
        <v>4</v>
      </c>
      <c r="N4" s="4">
        <f t="shared" si="1"/>
        <v>4</v>
      </c>
      <c r="O4" s="4">
        <f t="shared" si="2"/>
        <v>0</v>
      </c>
      <c r="P4" s="4">
        <f t="shared" si="3"/>
        <v>4</v>
      </c>
    </row>
    <row r="5" spans="1:16" x14ac:dyDescent="0.25">
      <c r="A5" t="s">
        <v>46</v>
      </c>
      <c r="B5" t="s">
        <v>35</v>
      </c>
      <c r="C5" t="s">
        <v>47</v>
      </c>
      <c r="D5" t="s">
        <v>48</v>
      </c>
      <c r="E5" t="s">
        <v>49</v>
      </c>
      <c r="F5" t="s">
        <v>50</v>
      </c>
      <c r="G5" t="s">
        <v>361</v>
      </c>
      <c r="H5" t="s">
        <v>359</v>
      </c>
      <c r="I5" s="2">
        <v>1</v>
      </c>
      <c r="J5" s="2">
        <v>1</v>
      </c>
      <c r="K5" s="2">
        <v>0</v>
      </c>
      <c r="L5" s="2">
        <v>1</v>
      </c>
      <c r="M5" s="4">
        <f t="shared" si="0"/>
        <v>4</v>
      </c>
      <c r="N5" s="4">
        <f t="shared" si="1"/>
        <v>4</v>
      </c>
      <c r="O5" s="4">
        <f t="shared" si="2"/>
        <v>0</v>
      </c>
      <c r="P5" s="4">
        <f t="shared" si="3"/>
        <v>4</v>
      </c>
    </row>
    <row r="6" spans="1:16" x14ac:dyDescent="0.25">
      <c r="A6" t="s">
        <v>51</v>
      </c>
      <c r="B6" t="s">
        <v>35</v>
      </c>
      <c r="C6" t="s">
        <v>37</v>
      </c>
      <c r="D6" t="s">
        <v>52</v>
      </c>
      <c r="E6" t="s">
        <v>53</v>
      </c>
      <c r="F6" t="s">
        <v>40</v>
      </c>
      <c r="G6" t="s">
        <v>360</v>
      </c>
      <c r="H6" t="s">
        <v>357</v>
      </c>
      <c r="I6" s="2">
        <v>1</v>
      </c>
      <c r="J6" s="2">
        <v>1</v>
      </c>
      <c r="K6" s="2">
        <v>0</v>
      </c>
      <c r="L6" s="2">
        <v>1</v>
      </c>
      <c r="M6" s="4">
        <f t="shared" si="0"/>
        <v>4</v>
      </c>
      <c r="N6" s="4">
        <f t="shared" si="1"/>
        <v>4</v>
      </c>
      <c r="O6" s="4">
        <f t="shared" si="2"/>
        <v>0</v>
      </c>
      <c r="P6" s="4">
        <f t="shared" si="3"/>
        <v>4</v>
      </c>
    </row>
    <row r="7" spans="1:16" x14ac:dyDescent="0.25">
      <c r="A7" t="s">
        <v>54</v>
      </c>
      <c r="B7" t="s">
        <v>35</v>
      </c>
      <c r="C7" t="s">
        <v>42</v>
      </c>
      <c r="D7" t="s">
        <v>55</v>
      </c>
      <c r="E7" t="s">
        <v>56</v>
      </c>
      <c r="F7" t="s">
        <v>45</v>
      </c>
      <c r="G7" t="s">
        <v>360</v>
      </c>
      <c r="H7" t="s">
        <v>362</v>
      </c>
      <c r="I7" s="2">
        <v>1</v>
      </c>
      <c r="J7" s="2">
        <v>1</v>
      </c>
      <c r="K7" s="2">
        <v>0.1</v>
      </c>
      <c r="L7" s="2">
        <v>1</v>
      </c>
      <c r="M7" s="4">
        <f t="shared" si="0"/>
        <v>4</v>
      </c>
      <c r="N7" s="4">
        <f t="shared" si="1"/>
        <v>4</v>
      </c>
      <c r="O7" s="4">
        <f t="shared" si="2"/>
        <v>1</v>
      </c>
      <c r="P7" s="4">
        <f t="shared" si="3"/>
        <v>4</v>
      </c>
    </row>
    <row r="8" spans="1:16" x14ac:dyDescent="0.25">
      <c r="A8" t="s">
        <v>57</v>
      </c>
      <c r="B8" t="s">
        <v>35</v>
      </c>
      <c r="C8" t="s">
        <v>42</v>
      </c>
      <c r="D8" t="s">
        <v>58</v>
      </c>
      <c r="E8" t="s">
        <v>59</v>
      </c>
      <c r="F8" t="s">
        <v>45</v>
      </c>
      <c r="G8" t="s">
        <v>360</v>
      </c>
      <c r="H8" t="s">
        <v>359</v>
      </c>
      <c r="I8" s="2">
        <v>1</v>
      </c>
      <c r="J8" s="2">
        <v>1</v>
      </c>
      <c r="K8" s="2">
        <v>0.1</v>
      </c>
      <c r="L8" s="2">
        <v>1</v>
      </c>
      <c r="M8" s="4">
        <f t="shared" si="0"/>
        <v>4</v>
      </c>
      <c r="N8" s="4">
        <f t="shared" si="1"/>
        <v>4</v>
      </c>
      <c r="O8" s="4">
        <f t="shared" si="2"/>
        <v>1</v>
      </c>
      <c r="P8" s="4">
        <f t="shared" si="3"/>
        <v>4</v>
      </c>
    </row>
    <row r="9" spans="1:16" x14ac:dyDescent="0.25">
      <c r="A9" t="s">
        <v>60</v>
      </c>
      <c r="B9" t="s">
        <v>35</v>
      </c>
      <c r="C9" t="s">
        <v>42</v>
      </c>
      <c r="D9" t="s">
        <v>61</v>
      </c>
      <c r="E9" t="s">
        <v>62</v>
      </c>
      <c r="F9" t="s">
        <v>45</v>
      </c>
      <c r="G9" t="s">
        <v>360</v>
      </c>
      <c r="H9" t="s">
        <v>359</v>
      </c>
      <c r="I9" s="2">
        <v>1</v>
      </c>
      <c r="J9" s="2">
        <v>1</v>
      </c>
      <c r="K9" s="2">
        <v>0.1</v>
      </c>
      <c r="L9" s="2">
        <v>1</v>
      </c>
      <c r="M9" s="4">
        <f t="shared" si="0"/>
        <v>4</v>
      </c>
      <c r="N9" s="4">
        <f t="shared" si="1"/>
        <v>4</v>
      </c>
      <c r="O9" s="4">
        <f t="shared" si="2"/>
        <v>1</v>
      </c>
      <c r="P9" s="4">
        <f t="shared" si="3"/>
        <v>4</v>
      </c>
    </row>
    <row r="10" spans="1:16" x14ac:dyDescent="0.25">
      <c r="A10" t="s">
        <v>63</v>
      </c>
      <c r="B10" t="s">
        <v>35</v>
      </c>
      <c r="C10" t="s">
        <v>64</v>
      </c>
      <c r="D10" t="s">
        <v>65</v>
      </c>
      <c r="E10" t="s">
        <v>66</v>
      </c>
      <c r="F10" t="s">
        <v>67</v>
      </c>
      <c r="G10" t="s">
        <v>363</v>
      </c>
      <c r="H10" t="s">
        <v>362</v>
      </c>
      <c r="I10" s="2">
        <v>1</v>
      </c>
      <c r="J10" s="2">
        <v>1</v>
      </c>
      <c r="K10" s="2">
        <v>0</v>
      </c>
      <c r="L10" s="2">
        <v>1</v>
      </c>
      <c r="M10" s="4">
        <f t="shared" si="0"/>
        <v>4</v>
      </c>
      <c r="N10" s="4">
        <f t="shared" si="1"/>
        <v>4</v>
      </c>
      <c r="O10" s="4">
        <f t="shared" si="2"/>
        <v>0</v>
      </c>
      <c r="P10" s="4">
        <f t="shared" si="3"/>
        <v>4</v>
      </c>
    </row>
    <row r="11" spans="1:16" x14ac:dyDescent="0.25">
      <c r="A11" t="s">
        <v>202</v>
      </c>
      <c r="B11" t="s">
        <v>35</v>
      </c>
      <c r="C11" t="s">
        <v>37</v>
      </c>
      <c r="D11" t="s">
        <v>203</v>
      </c>
      <c r="E11" t="s">
        <v>204</v>
      </c>
      <c r="F11" t="s">
        <v>81</v>
      </c>
      <c r="G11" t="s">
        <v>360</v>
      </c>
      <c r="H11" t="s">
        <v>357</v>
      </c>
      <c r="I11" s="2">
        <v>1</v>
      </c>
      <c r="J11" s="2">
        <v>1</v>
      </c>
      <c r="K11" s="2">
        <v>0</v>
      </c>
      <c r="L11" s="2">
        <v>1</v>
      </c>
      <c r="M11" s="4">
        <f t="shared" si="0"/>
        <v>4</v>
      </c>
      <c r="N11" s="4">
        <f t="shared" si="1"/>
        <v>4</v>
      </c>
      <c r="O11" s="4">
        <f t="shared" si="2"/>
        <v>0</v>
      </c>
      <c r="P11" s="4">
        <f t="shared" si="3"/>
        <v>4</v>
      </c>
    </row>
    <row r="12" spans="1:16" x14ac:dyDescent="0.25">
      <c r="A12" t="s">
        <v>68</v>
      </c>
      <c r="B12" t="s">
        <v>35</v>
      </c>
      <c r="C12" t="s">
        <v>69</v>
      </c>
      <c r="D12" t="s">
        <v>70</v>
      </c>
      <c r="E12" t="s">
        <v>71</v>
      </c>
      <c r="F12" t="s">
        <v>72</v>
      </c>
      <c r="G12" t="s">
        <v>364</v>
      </c>
      <c r="H12" t="s">
        <v>365</v>
      </c>
      <c r="I12" s="2">
        <v>1</v>
      </c>
      <c r="J12" s="2">
        <v>1</v>
      </c>
      <c r="K12" s="2">
        <v>0</v>
      </c>
      <c r="L12" s="2">
        <v>1</v>
      </c>
      <c r="M12" s="4">
        <f t="shared" si="0"/>
        <v>4</v>
      </c>
      <c r="N12" s="4">
        <f t="shared" si="1"/>
        <v>4</v>
      </c>
      <c r="O12" s="4">
        <f t="shared" si="2"/>
        <v>0</v>
      </c>
      <c r="P12" s="4">
        <f t="shared" si="3"/>
        <v>4</v>
      </c>
    </row>
    <row r="13" spans="1:16" x14ac:dyDescent="0.25">
      <c r="A13" t="s">
        <v>138</v>
      </c>
      <c r="B13" t="s">
        <v>35</v>
      </c>
      <c r="C13" t="s">
        <v>139</v>
      </c>
      <c r="D13" t="s">
        <v>140</v>
      </c>
      <c r="E13" t="s">
        <v>141</v>
      </c>
      <c r="F13" t="s">
        <v>142</v>
      </c>
      <c r="G13" t="s">
        <v>366</v>
      </c>
      <c r="H13" t="s">
        <v>359</v>
      </c>
      <c r="I13" s="2">
        <v>1</v>
      </c>
      <c r="J13" s="2">
        <v>1</v>
      </c>
      <c r="K13" s="2">
        <v>0</v>
      </c>
      <c r="L13" s="2">
        <v>1</v>
      </c>
      <c r="M13" s="4">
        <f t="shared" si="0"/>
        <v>4</v>
      </c>
      <c r="N13" s="4">
        <f t="shared" si="1"/>
        <v>4</v>
      </c>
      <c r="O13" s="4">
        <f t="shared" si="2"/>
        <v>0</v>
      </c>
      <c r="P13" s="4">
        <f t="shared" si="3"/>
        <v>4</v>
      </c>
    </row>
    <row r="14" spans="1:16" x14ac:dyDescent="0.25">
      <c r="A14" t="s">
        <v>73</v>
      </c>
      <c r="B14" t="s">
        <v>35</v>
      </c>
      <c r="C14" t="s">
        <v>74</v>
      </c>
      <c r="D14" t="s">
        <v>75</v>
      </c>
      <c r="E14" t="s">
        <v>76</v>
      </c>
      <c r="F14" t="s">
        <v>77</v>
      </c>
      <c r="G14" t="s">
        <v>360</v>
      </c>
      <c r="H14" t="s">
        <v>357</v>
      </c>
      <c r="I14" s="2">
        <v>1</v>
      </c>
      <c r="J14" s="2">
        <v>1</v>
      </c>
      <c r="K14" s="2">
        <v>0</v>
      </c>
      <c r="L14" s="2">
        <v>1</v>
      </c>
      <c r="M14" s="4">
        <f t="shared" si="0"/>
        <v>4</v>
      </c>
      <c r="N14" s="4">
        <f t="shared" si="1"/>
        <v>4</v>
      </c>
      <c r="O14" s="4">
        <f t="shared" si="2"/>
        <v>0</v>
      </c>
      <c r="P14" s="4">
        <f t="shared" si="3"/>
        <v>4</v>
      </c>
    </row>
    <row r="15" spans="1:16" x14ac:dyDescent="0.25">
      <c r="A15" t="s">
        <v>145</v>
      </c>
      <c r="B15" t="s">
        <v>35</v>
      </c>
      <c r="C15" t="s">
        <v>146</v>
      </c>
      <c r="D15" t="s">
        <v>147</v>
      </c>
      <c r="E15" t="s">
        <v>148</v>
      </c>
      <c r="F15" t="s">
        <v>149</v>
      </c>
      <c r="G15" t="s">
        <v>366</v>
      </c>
      <c r="H15" t="s">
        <v>359</v>
      </c>
      <c r="I15" s="2">
        <v>1</v>
      </c>
      <c r="J15" s="2">
        <v>1</v>
      </c>
      <c r="K15" s="2">
        <v>0</v>
      </c>
      <c r="L15" s="2">
        <v>1</v>
      </c>
      <c r="M15" s="4">
        <f t="shared" si="0"/>
        <v>4</v>
      </c>
      <c r="N15" s="4">
        <f t="shared" si="1"/>
        <v>4</v>
      </c>
      <c r="O15" s="4">
        <f t="shared" si="2"/>
        <v>0</v>
      </c>
      <c r="P15" s="4">
        <f t="shared" si="3"/>
        <v>4</v>
      </c>
    </row>
    <row r="16" spans="1:16" x14ac:dyDescent="0.25">
      <c r="A16" t="s">
        <v>82</v>
      </c>
      <c r="B16" t="s">
        <v>35</v>
      </c>
      <c r="C16" t="s">
        <v>37</v>
      </c>
      <c r="D16" t="s">
        <v>55</v>
      </c>
      <c r="E16" t="s">
        <v>83</v>
      </c>
      <c r="F16" t="s">
        <v>40</v>
      </c>
      <c r="G16" t="s">
        <v>366</v>
      </c>
      <c r="H16" t="s">
        <v>357</v>
      </c>
      <c r="I16" s="2">
        <v>1</v>
      </c>
      <c r="J16" s="2">
        <v>1</v>
      </c>
      <c r="K16" s="2">
        <v>0</v>
      </c>
      <c r="L16" s="2">
        <v>1</v>
      </c>
      <c r="M16" s="4">
        <f t="shared" si="0"/>
        <v>4</v>
      </c>
      <c r="N16" s="4">
        <f t="shared" si="1"/>
        <v>4</v>
      </c>
      <c r="O16" s="4">
        <f t="shared" si="2"/>
        <v>0</v>
      </c>
      <c r="P16" s="4">
        <f t="shared" si="3"/>
        <v>4</v>
      </c>
    </row>
    <row r="17" spans="1:16" x14ac:dyDescent="0.25">
      <c r="A17" t="s">
        <v>88</v>
      </c>
      <c r="B17" t="s">
        <v>35</v>
      </c>
      <c r="C17" t="s">
        <v>64</v>
      </c>
      <c r="D17" t="s">
        <v>27</v>
      </c>
      <c r="E17" t="s">
        <v>89</v>
      </c>
      <c r="F17" t="s">
        <v>67</v>
      </c>
      <c r="G17" t="s">
        <v>360</v>
      </c>
      <c r="H17" t="s">
        <v>362</v>
      </c>
      <c r="I17" s="2">
        <v>1</v>
      </c>
      <c r="J17" s="2">
        <v>1</v>
      </c>
      <c r="K17" s="2">
        <v>0</v>
      </c>
      <c r="L17" s="2">
        <v>1</v>
      </c>
      <c r="M17" s="4">
        <f t="shared" si="0"/>
        <v>4</v>
      </c>
      <c r="N17" s="4">
        <f t="shared" si="1"/>
        <v>4</v>
      </c>
      <c r="O17" s="4">
        <f t="shared" si="2"/>
        <v>0</v>
      </c>
      <c r="P17" s="4">
        <f t="shared" si="3"/>
        <v>4</v>
      </c>
    </row>
    <row r="18" spans="1:16" x14ac:dyDescent="0.25">
      <c r="A18" t="s">
        <v>116</v>
      </c>
      <c r="B18" t="s">
        <v>35</v>
      </c>
      <c r="C18" t="s">
        <v>117</v>
      </c>
      <c r="D18" t="s">
        <v>118</v>
      </c>
      <c r="E18" t="s">
        <v>119</v>
      </c>
      <c r="F18" t="s">
        <v>120</v>
      </c>
      <c r="G18" t="s">
        <v>364</v>
      </c>
      <c r="H18" t="s">
        <v>362</v>
      </c>
      <c r="I18" s="2">
        <v>1</v>
      </c>
      <c r="J18" s="2">
        <v>1</v>
      </c>
      <c r="K18" s="2">
        <v>0</v>
      </c>
      <c r="L18" s="2">
        <v>1</v>
      </c>
      <c r="M18" s="4">
        <f t="shared" si="0"/>
        <v>4</v>
      </c>
      <c r="N18" s="4">
        <f t="shared" si="1"/>
        <v>4</v>
      </c>
      <c r="O18" s="4">
        <f t="shared" si="2"/>
        <v>0</v>
      </c>
      <c r="P18" s="4">
        <f t="shared" si="3"/>
        <v>4</v>
      </c>
    </row>
    <row r="19" spans="1:16" x14ac:dyDescent="0.25">
      <c r="A19" t="s">
        <v>95</v>
      </c>
      <c r="B19" t="s">
        <v>35</v>
      </c>
      <c r="C19" t="s">
        <v>37</v>
      </c>
      <c r="D19" t="s">
        <v>96</v>
      </c>
      <c r="E19" t="s">
        <v>97</v>
      </c>
      <c r="F19" t="s">
        <v>40</v>
      </c>
      <c r="G19" t="s">
        <v>368</v>
      </c>
      <c r="H19" t="s">
        <v>357</v>
      </c>
      <c r="I19" s="2">
        <v>1</v>
      </c>
      <c r="J19" s="2">
        <v>1</v>
      </c>
      <c r="K19" s="2">
        <v>0</v>
      </c>
      <c r="L19" s="2">
        <v>1</v>
      </c>
      <c r="M19" s="4">
        <f t="shared" si="0"/>
        <v>4</v>
      </c>
      <c r="N19" s="4">
        <f t="shared" si="1"/>
        <v>4</v>
      </c>
      <c r="O19" s="4">
        <f t="shared" si="2"/>
        <v>0</v>
      </c>
      <c r="P19" s="4">
        <f t="shared" si="3"/>
        <v>4</v>
      </c>
    </row>
    <row r="20" spans="1:16" x14ac:dyDescent="0.25">
      <c r="A20" t="s">
        <v>161</v>
      </c>
      <c r="B20" t="s">
        <v>35</v>
      </c>
      <c r="C20" t="s">
        <v>110</v>
      </c>
      <c r="D20" t="s">
        <v>19</v>
      </c>
      <c r="E20" t="s">
        <v>162</v>
      </c>
      <c r="F20" t="s">
        <v>112</v>
      </c>
      <c r="G20" t="s">
        <v>369</v>
      </c>
      <c r="H20" t="s">
        <v>359</v>
      </c>
      <c r="I20" s="2">
        <v>1</v>
      </c>
      <c r="J20" s="2">
        <v>1</v>
      </c>
      <c r="K20" s="2">
        <v>0</v>
      </c>
      <c r="L20" s="2">
        <v>1</v>
      </c>
      <c r="M20" s="4">
        <f t="shared" si="0"/>
        <v>4</v>
      </c>
      <c r="N20" s="4">
        <f t="shared" si="1"/>
        <v>4</v>
      </c>
      <c r="O20" s="4">
        <f t="shared" si="2"/>
        <v>0</v>
      </c>
      <c r="P20" s="4">
        <f t="shared" si="3"/>
        <v>4</v>
      </c>
    </row>
    <row r="21" spans="1:16" x14ac:dyDescent="0.25">
      <c r="A21" t="s">
        <v>98</v>
      </c>
      <c r="B21" t="s">
        <v>35</v>
      </c>
      <c r="C21" t="s">
        <v>99</v>
      </c>
      <c r="D21" t="s">
        <v>25</v>
      </c>
      <c r="E21" t="s">
        <v>100</v>
      </c>
      <c r="F21" t="s">
        <v>101</v>
      </c>
      <c r="G21" t="s">
        <v>369</v>
      </c>
      <c r="H21" t="s">
        <v>359</v>
      </c>
      <c r="I21" s="2">
        <v>1</v>
      </c>
      <c r="J21" s="2">
        <v>1</v>
      </c>
      <c r="K21" s="2">
        <v>0</v>
      </c>
      <c r="L21" s="2">
        <v>1</v>
      </c>
      <c r="M21" s="4">
        <f t="shared" si="0"/>
        <v>4</v>
      </c>
      <c r="N21" s="4">
        <f t="shared" si="1"/>
        <v>4</v>
      </c>
      <c r="O21" s="4">
        <f t="shared" si="2"/>
        <v>0</v>
      </c>
      <c r="P21" s="4">
        <f t="shared" si="3"/>
        <v>4</v>
      </c>
    </row>
    <row r="22" spans="1:16" x14ac:dyDescent="0.25">
      <c r="A22" t="s">
        <v>107</v>
      </c>
      <c r="B22" t="s">
        <v>35</v>
      </c>
      <c r="C22" t="s">
        <v>85</v>
      </c>
      <c r="D22" t="s">
        <v>11</v>
      </c>
      <c r="E22" t="s">
        <v>108</v>
      </c>
      <c r="F22" t="s">
        <v>87</v>
      </c>
      <c r="G22" t="s">
        <v>370</v>
      </c>
      <c r="H22" t="s">
        <v>357</v>
      </c>
      <c r="I22" s="2">
        <v>1</v>
      </c>
      <c r="J22" s="2">
        <v>1</v>
      </c>
      <c r="K22" s="2">
        <v>0</v>
      </c>
      <c r="L22" s="2">
        <v>1</v>
      </c>
      <c r="M22" s="4">
        <f t="shared" si="0"/>
        <v>4</v>
      </c>
      <c r="N22" s="4">
        <f t="shared" si="1"/>
        <v>4</v>
      </c>
      <c r="O22" s="4">
        <f t="shared" si="2"/>
        <v>0</v>
      </c>
      <c r="P22" s="4">
        <f t="shared" si="3"/>
        <v>4</v>
      </c>
    </row>
    <row r="23" spans="1:16" x14ac:dyDescent="0.25">
      <c r="A23" t="s">
        <v>188</v>
      </c>
      <c r="B23" t="s">
        <v>35</v>
      </c>
      <c r="C23" t="s">
        <v>171</v>
      </c>
      <c r="D23" t="s">
        <v>23</v>
      </c>
      <c r="E23" t="s">
        <v>189</v>
      </c>
      <c r="F23" t="s">
        <v>173</v>
      </c>
      <c r="G23" t="s">
        <v>363</v>
      </c>
      <c r="H23" t="s">
        <v>362</v>
      </c>
      <c r="I23" s="2">
        <v>1</v>
      </c>
      <c r="J23" s="2">
        <v>1</v>
      </c>
      <c r="K23" s="2">
        <v>0</v>
      </c>
      <c r="L23" s="2">
        <v>1</v>
      </c>
      <c r="M23" s="4">
        <f t="shared" si="0"/>
        <v>4</v>
      </c>
      <c r="N23" s="4">
        <f t="shared" si="1"/>
        <v>4</v>
      </c>
      <c r="O23" s="4">
        <f t="shared" si="2"/>
        <v>0</v>
      </c>
      <c r="P23" s="4">
        <f t="shared" si="3"/>
        <v>4</v>
      </c>
    </row>
    <row r="24" spans="1:16" x14ac:dyDescent="0.25">
      <c r="A24" t="s">
        <v>113</v>
      </c>
      <c r="B24" t="s">
        <v>35</v>
      </c>
      <c r="C24" t="s">
        <v>103</v>
      </c>
      <c r="D24" t="s">
        <v>114</v>
      </c>
      <c r="E24" t="s">
        <v>115</v>
      </c>
      <c r="F24" t="s">
        <v>106</v>
      </c>
      <c r="G24" t="s">
        <v>369</v>
      </c>
      <c r="H24" t="s">
        <v>357</v>
      </c>
      <c r="I24" s="2">
        <v>1</v>
      </c>
      <c r="J24" s="2">
        <v>1</v>
      </c>
      <c r="K24" s="2">
        <v>0</v>
      </c>
      <c r="L24" s="2">
        <v>1</v>
      </c>
      <c r="M24" s="4">
        <f t="shared" si="0"/>
        <v>4</v>
      </c>
      <c r="N24" s="4">
        <f t="shared" si="1"/>
        <v>4</v>
      </c>
      <c r="O24" s="4">
        <f t="shared" si="2"/>
        <v>0</v>
      </c>
      <c r="P24" s="4">
        <f t="shared" si="3"/>
        <v>4</v>
      </c>
    </row>
    <row r="25" spans="1:16" x14ac:dyDescent="0.25">
      <c r="A25" t="s">
        <v>266</v>
      </c>
      <c r="B25" t="s">
        <v>35</v>
      </c>
      <c r="C25" t="s">
        <v>267</v>
      </c>
      <c r="D25" t="s">
        <v>268</v>
      </c>
      <c r="E25" t="s">
        <v>269</v>
      </c>
      <c r="F25" t="s">
        <v>270</v>
      </c>
      <c r="G25" t="s">
        <v>372</v>
      </c>
      <c r="H25" t="s">
        <v>373</v>
      </c>
      <c r="I25" s="2">
        <v>1</v>
      </c>
      <c r="J25" s="2">
        <v>1</v>
      </c>
      <c r="K25" s="2">
        <v>0.7</v>
      </c>
      <c r="L25" s="2">
        <v>0.7</v>
      </c>
      <c r="M25" s="4">
        <f t="shared" si="0"/>
        <v>4</v>
      </c>
      <c r="N25" s="4">
        <f t="shared" si="1"/>
        <v>4</v>
      </c>
      <c r="O25" s="4">
        <f t="shared" si="2"/>
        <v>3</v>
      </c>
      <c r="P25" s="4">
        <f t="shared" si="3"/>
        <v>3</v>
      </c>
    </row>
    <row r="26" spans="1:16" x14ac:dyDescent="0.25">
      <c r="A26" t="s">
        <v>90</v>
      </c>
      <c r="B26" t="s">
        <v>35</v>
      </c>
      <c r="C26" t="s">
        <v>91</v>
      </c>
      <c r="D26" t="s">
        <v>92</v>
      </c>
      <c r="E26" t="s">
        <v>93</v>
      </c>
      <c r="F26" t="s">
        <v>94</v>
      </c>
      <c r="G26" t="s">
        <v>364</v>
      </c>
      <c r="H26" t="s">
        <v>367</v>
      </c>
      <c r="I26" s="2">
        <v>1</v>
      </c>
      <c r="J26" s="2">
        <v>0.7</v>
      </c>
      <c r="K26" s="2">
        <v>0</v>
      </c>
      <c r="L26" s="2">
        <v>1</v>
      </c>
      <c r="M26" s="4">
        <f t="shared" si="0"/>
        <v>4</v>
      </c>
      <c r="N26" s="4">
        <f t="shared" si="1"/>
        <v>3</v>
      </c>
      <c r="O26" s="4">
        <f t="shared" si="2"/>
        <v>0</v>
      </c>
      <c r="P26" s="4">
        <f t="shared" si="3"/>
        <v>4</v>
      </c>
    </row>
    <row r="27" spans="1:16" x14ac:dyDescent="0.25">
      <c r="A27" t="s">
        <v>125</v>
      </c>
      <c r="B27" t="s">
        <v>35</v>
      </c>
      <c r="C27" t="s">
        <v>126</v>
      </c>
      <c r="D27" t="s">
        <v>70</v>
      </c>
      <c r="E27" t="s">
        <v>127</v>
      </c>
      <c r="F27" t="s">
        <v>128</v>
      </c>
      <c r="G27" t="s">
        <v>370</v>
      </c>
      <c r="H27" t="s">
        <v>371</v>
      </c>
      <c r="I27" s="2">
        <v>1</v>
      </c>
      <c r="J27" s="2">
        <v>1</v>
      </c>
      <c r="K27" s="2">
        <v>0</v>
      </c>
      <c r="L27" s="2">
        <v>0.7</v>
      </c>
      <c r="M27" s="4">
        <f t="shared" si="0"/>
        <v>4</v>
      </c>
      <c r="N27" s="4">
        <f t="shared" si="1"/>
        <v>4</v>
      </c>
      <c r="O27" s="4">
        <f t="shared" si="2"/>
        <v>0</v>
      </c>
      <c r="P27" s="4">
        <f t="shared" si="3"/>
        <v>3</v>
      </c>
    </row>
    <row r="28" spans="1:16" x14ac:dyDescent="0.25">
      <c r="A28" t="s">
        <v>102</v>
      </c>
      <c r="B28" t="s">
        <v>35</v>
      </c>
      <c r="C28" t="s">
        <v>103</v>
      </c>
      <c r="D28" t="s">
        <v>104</v>
      </c>
      <c r="E28" t="s">
        <v>105</v>
      </c>
      <c r="F28" t="s">
        <v>106</v>
      </c>
      <c r="G28" t="s">
        <v>360</v>
      </c>
      <c r="H28" t="s">
        <v>357</v>
      </c>
      <c r="I28" s="2">
        <v>1</v>
      </c>
      <c r="J28" s="2">
        <v>0.7</v>
      </c>
      <c r="K28" s="2">
        <v>0</v>
      </c>
      <c r="L28" s="2">
        <v>1</v>
      </c>
      <c r="M28" s="4">
        <f t="shared" si="0"/>
        <v>4</v>
      </c>
      <c r="N28" s="4">
        <f t="shared" si="1"/>
        <v>3</v>
      </c>
      <c r="O28" s="4">
        <f t="shared" si="2"/>
        <v>0</v>
      </c>
      <c r="P28" s="4">
        <f t="shared" ref="P28:P56" si="4">IF(L28=1,4,IF(L28=0.7,3,IF(L28=0.35,2,IF(L28=0.1,1,0))))</f>
        <v>4</v>
      </c>
    </row>
    <row r="29" spans="1:16" x14ac:dyDescent="0.25">
      <c r="A29" t="s">
        <v>134</v>
      </c>
      <c r="B29" t="s">
        <v>35</v>
      </c>
      <c r="C29" t="s">
        <v>42</v>
      </c>
      <c r="D29" t="s">
        <v>135</v>
      </c>
      <c r="E29" t="s">
        <v>136</v>
      </c>
      <c r="F29" t="s">
        <v>137</v>
      </c>
      <c r="G29" t="s">
        <v>369</v>
      </c>
      <c r="H29" t="s">
        <v>371</v>
      </c>
      <c r="I29" s="2">
        <v>1</v>
      </c>
      <c r="J29" s="2">
        <v>0.7</v>
      </c>
      <c r="K29" s="2">
        <v>0</v>
      </c>
      <c r="L29" s="2">
        <v>1</v>
      </c>
      <c r="M29" s="4">
        <f t="shared" si="0"/>
        <v>4</v>
      </c>
      <c r="N29" s="4">
        <f t="shared" si="1"/>
        <v>3</v>
      </c>
      <c r="O29" s="4">
        <f t="shared" si="2"/>
        <v>0</v>
      </c>
      <c r="P29" s="4">
        <f t="shared" si="4"/>
        <v>4</v>
      </c>
    </row>
    <row r="30" spans="1:16" x14ac:dyDescent="0.25">
      <c r="A30" t="s">
        <v>129</v>
      </c>
      <c r="B30" t="s">
        <v>35</v>
      </c>
      <c r="C30" t="s">
        <v>130</v>
      </c>
      <c r="D30" t="s">
        <v>131</v>
      </c>
      <c r="E30" t="s">
        <v>132</v>
      </c>
      <c r="F30" t="s">
        <v>133</v>
      </c>
      <c r="G30" t="s">
        <v>364</v>
      </c>
      <c r="H30" t="s">
        <v>359</v>
      </c>
      <c r="I30" s="2">
        <v>1</v>
      </c>
      <c r="J30" s="2">
        <v>1</v>
      </c>
      <c r="K30" s="2">
        <v>0</v>
      </c>
      <c r="L30" s="2">
        <v>0.7</v>
      </c>
      <c r="M30" s="4">
        <f t="shared" si="0"/>
        <v>4</v>
      </c>
      <c r="N30" s="4">
        <f t="shared" si="1"/>
        <v>4</v>
      </c>
      <c r="O30" s="4">
        <f t="shared" si="2"/>
        <v>0</v>
      </c>
      <c r="P30" s="4">
        <f t="shared" si="4"/>
        <v>3</v>
      </c>
    </row>
    <row r="31" spans="1:16" x14ac:dyDescent="0.25">
      <c r="A31" t="s">
        <v>143</v>
      </c>
      <c r="B31" t="s">
        <v>35</v>
      </c>
      <c r="C31" t="s">
        <v>85</v>
      </c>
      <c r="D31" t="s">
        <v>12</v>
      </c>
      <c r="E31" t="s">
        <v>144</v>
      </c>
      <c r="F31" t="s">
        <v>87</v>
      </c>
      <c r="G31" t="s">
        <v>370</v>
      </c>
      <c r="H31" t="s">
        <v>371</v>
      </c>
      <c r="I31" s="2">
        <v>1</v>
      </c>
      <c r="J31" s="2">
        <v>1</v>
      </c>
      <c r="K31" s="2">
        <v>0</v>
      </c>
      <c r="L31" s="2">
        <v>0.7</v>
      </c>
      <c r="M31" s="4">
        <f t="shared" si="0"/>
        <v>4</v>
      </c>
      <c r="N31" s="4">
        <f t="shared" si="1"/>
        <v>4</v>
      </c>
      <c r="O31" s="4">
        <f t="shared" si="2"/>
        <v>0</v>
      </c>
      <c r="P31" s="4">
        <f t="shared" si="4"/>
        <v>3</v>
      </c>
    </row>
    <row r="32" spans="1:16" x14ac:dyDescent="0.25">
      <c r="A32" t="s">
        <v>242</v>
      </c>
      <c r="B32" t="s">
        <v>35</v>
      </c>
      <c r="C32" t="s">
        <v>85</v>
      </c>
      <c r="D32" t="s">
        <v>10</v>
      </c>
      <c r="E32" t="s">
        <v>243</v>
      </c>
      <c r="F32" t="s">
        <v>87</v>
      </c>
      <c r="G32" t="s">
        <v>370</v>
      </c>
      <c r="H32" t="s">
        <v>367</v>
      </c>
      <c r="I32" s="2">
        <v>1</v>
      </c>
      <c r="J32" s="2">
        <v>1</v>
      </c>
      <c r="K32" s="2">
        <v>0</v>
      </c>
      <c r="L32" s="2">
        <v>0.7</v>
      </c>
      <c r="M32" s="4">
        <f t="shared" si="0"/>
        <v>4</v>
      </c>
      <c r="N32" s="4">
        <f t="shared" si="1"/>
        <v>4</v>
      </c>
      <c r="O32" s="4">
        <f t="shared" si="2"/>
        <v>0</v>
      </c>
      <c r="P32" s="4">
        <f t="shared" si="4"/>
        <v>3</v>
      </c>
    </row>
    <row r="33" spans="1:16" x14ac:dyDescent="0.25">
      <c r="A33" t="s">
        <v>150</v>
      </c>
      <c r="B33" t="s">
        <v>35</v>
      </c>
      <c r="C33" t="s">
        <v>37</v>
      </c>
      <c r="D33" t="s">
        <v>151</v>
      </c>
      <c r="E33" t="s">
        <v>152</v>
      </c>
      <c r="F33" t="s">
        <v>40</v>
      </c>
      <c r="G33" t="s">
        <v>370</v>
      </c>
      <c r="H33" t="s">
        <v>358</v>
      </c>
      <c r="I33" s="2">
        <v>1</v>
      </c>
      <c r="J33" s="2">
        <v>1</v>
      </c>
      <c r="K33" s="2">
        <v>0</v>
      </c>
      <c r="L33" s="2">
        <v>0.7</v>
      </c>
      <c r="M33" s="4">
        <f t="shared" si="0"/>
        <v>4</v>
      </c>
      <c r="N33" s="4">
        <f t="shared" si="1"/>
        <v>4</v>
      </c>
      <c r="O33" s="4">
        <f t="shared" si="2"/>
        <v>0</v>
      </c>
      <c r="P33" s="4">
        <f t="shared" si="4"/>
        <v>3</v>
      </c>
    </row>
    <row r="34" spans="1:16" x14ac:dyDescent="0.25">
      <c r="A34" t="s">
        <v>153</v>
      </c>
      <c r="B34" t="s">
        <v>35</v>
      </c>
      <c r="C34" t="s">
        <v>154</v>
      </c>
      <c r="D34" t="s">
        <v>155</v>
      </c>
      <c r="E34" t="s">
        <v>156</v>
      </c>
      <c r="F34" t="s">
        <v>157</v>
      </c>
      <c r="G34" t="s">
        <v>360</v>
      </c>
      <c r="H34" t="s">
        <v>362</v>
      </c>
      <c r="I34" s="2">
        <v>1</v>
      </c>
      <c r="J34" s="2">
        <v>1</v>
      </c>
      <c r="K34" s="2">
        <v>0</v>
      </c>
      <c r="L34" s="2">
        <v>0.7</v>
      </c>
      <c r="M34" s="4">
        <f t="shared" si="0"/>
        <v>4</v>
      </c>
      <c r="N34" s="4">
        <f t="shared" si="1"/>
        <v>4</v>
      </c>
      <c r="O34" s="4">
        <f t="shared" si="2"/>
        <v>0</v>
      </c>
      <c r="P34" s="4">
        <f t="shared" si="4"/>
        <v>3</v>
      </c>
    </row>
    <row r="35" spans="1:16" x14ac:dyDescent="0.25">
      <c r="A35" t="s">
        <v>84</v>
      </c>
      <c r="B35" t="s">
        <v>35</v>
      </c>
      <c r="C35" t="s">
        <v>85</v>
      </c>
      <c r="D35" t="s">
        <v>14</v>
      </c>
      <c r="E35" t="s">
        <v>86</v>
      </c>
      <c r="F35" t="s">
        <v>87</v>
      </c>
      <c r="G35" t="s">
        <v>363</v>
      </c>
      <c r="H35" t="s">
        <v>367</v>
      </c>
      <c r="I35" s="2">
        <v>1</v>
      </c>
      <c r="J35" s="2">
        <v>1</v>
      </c>
      <c r="K35" s="2">
        <v>0</v>
      </c>
      <c r="L35" s="2">
        <v>0.7</v>
      </c>
      <c r="M35" s="4">
        <f t="shared" ref="M35:M66" si="5">IF(I35=1,4,IF(I35=0.7,3,IF(I35=0.35,2,IF(I35=0.1,1,0))))</f>
        <v>4</v>
      </c>
      <c r="N35" s="4">
        <f t="shared" ref="N35:N66" si="6">IF(J35=1,4,IF(J35=0.7,3,IF(J35=0.35,2,IF(J35=0.1,1,0))))</f>
        <v>4</v>
      </c>
      <c r="O35" s="4">
        <f t="shared" ref="O35:O66" si="7">IF(K35=1,4,IF(K35=0.7,3,IF(K35=0.35,2,IF(K35=0.1,1,0))))</f>
        <v>0</v>
      </c>
      <c r="P35" s="4">
        <f t="shared" si="4"/>
        <v>3</v>
      </c>
    </row>
    <row r="36" spans="1:16" x14ac:dyDescent="0.25">
      <c r="A36" t="s">
        <v>317</v>
      </c>
      <c r="B36" t="s">
        <v>35</v>
      </c>
      <c r="C36" t="s">
        <v>37</v>
      </c>
      <c r="D36" t="s">
        <v>300</v>
      </c>
      <c r="E36" t="s">
        <v>318</v>
      </c>
      <c r="F36" t="s">
        <v>81</v>
      </c>
      <c r="G36" t="s">
        <v>369</v>
      </c>
      <c r="H36" t="s">
        <v>362</v>
      </c>
      <c r="I36" s="2">
        <v>1</v>
      </c>
      <c r="J36" s="2">
        <v>1</v>
      </c>
      <c r="K36" s="2">
        <v>0</v>
      </c>
      <c r="L36" s="2">
        <v>0.7</v>
      </c>
      <c r="M36" s="4">
        <f t="shared" si="5"/>
        <v>4</v>
      </c>
      <c r="N36" s="4">
        <f t="shared" si="6"/>
        <v>4</v>
      </c>
      <c r="O36" s="4">
        <f t="shared" si="7"/>
        <v>0</v>
      </c>
      <c r="P36" s="4">
        <f t="shared" si="4"/>
        <v>3</v>
      </c>
    </row>
    <row r="37" spans="1:16" x14ac:dyDescent="0.25">
      <c r="A37" t="s">
        <v>209</v>
      </c>
      <c r="B37" t="s">
        <v>35</v>
      </c>
      <c r="C37" t="s">
        <v>210</v>
      </c>
      <c r="D37" t="s">
        <v>211</v>
      </c>
      <c r="E37" t="s">
        <v>212</v>
      </c>
      <c r="F37" t="s">
        <v>213</v>
      </c>
      <c r="G37" t="s">
        <v>369</v>
      </c>
      <c r="H37" t="s">
        <v>359</v>
      </c>
      <c r="I37" s="2">
        <v>0.7</v>
      </c>
      <c r="J37" s="2">
        <v>1</v>
      </c>
      <c r="K37" s="2">
        <v>0.35</v>
      </c>
      <c r="L37" s="2">
        <v>1</v>
      </c>
      <c r="M37" s="4">
        <f t="shared" si="5"/>
        <v>3</v>
      </c>
      <c r="N37" s="4">
        <f t="shared" si="6"/>
        <v>4</v>
      </c>
      <c r="O37" s="4">
        <f t="shared" si="7"/>
        <v>2</v>
      </c>
      <c r="P37" s="4">
        <f t="shared" si="4"/>
        <v>4</v>
      </c>
    </row>
    <row r="38" spans="1:16" x14ac:dyDescent="0.25">
      <c r="A38" t="s">
        <v>163</v>
      </c>
      <c r="B38" t="s">
        <v>35</v>
      </c>
      <c r="C38" t="s">
        <v>164</v>
      </c>
      <c r="D38" t="s">
        <v>165</v>
      </c>
      <c r="E38" t="s">
        <v>156</v>
      </c>
      <c r="F38" t="s">
        <v>166</v>
      </c>
      <c r="G38" t="s">
        <v>364</v>
      </c>
      <c r="H38" t="s">
        <v>362</v>
      </c>
      <c r="I38" s="2">
        <v>1</v>
      </c>
      <c r="J38" s="2">
        <v>1</v>
      </c>
      <c r="K38" s="2">
        <v>0</v>
      </c>
      <c r="L38" s="2">
        <v>0.7</v>
      </c>
      <c r="M38" s="4">
        <f t="shared" si="5"/>
        <v>4</v>
      </c>
      <c r="N38" s="4">
        <f t="shared" si="6"/>
        <v>4</v>
      </c>
      <c r="O38" s="4">
        <f t="shared" si="7"/>
        <v>0</v>
      </c>
      <c r="P38" s="4">
        <f t="shared" si="4"/>
        <v>3</v>
      </c>
    </row>
    <row r="39" spans="1:16" x14ac:dyDescent="0.25">
      <c r="A39" t="s">
        <v>167</v>
      </c>
      <c r="B39" t="s">
        <v>35</v>
      </c>
      <c r="C39" t="s">
        <v>37</v>
      </c>
      <c r="D39" t="s">
        <v>168</v>
      </c>
      <c r="E39" t="s">
        <v>169</v>
      </c>
      <c r="F39" t="s">
        <v>40</v>
      </c>
      <c r="G39" t="s">
        <v>363</v>
      </c>
      <c r="H39" t="s">
        <v>357</v>
      </c>
      <c r="I39" s="2">
        <v>1</v>
      </c>
      <c r="J39" s="2">
        <v>0.7</v>
      </c>
      <c r="K39" s="2">
        <v>0</v>
      </c>
      <c r="L39" s="2">
        <v>0.7</v>
      </c>
      <c r="M39" s="4">
        <f t="shared" si="5"/>
        <v>4</v>
      </c>
      <c r="N39" s="4">
        <f t="shared" si="6"/>
        <v>3</v>
      </c>
      <c r="O39" s="4">
        <f t="shared" si="7"/>
        <v>0</v>
      </c>
      <c r="P39" s="4">
        <f t="shared" si="4"/>
        <v>3</v>
      </c>
    </row>
    <row r="40" spans="1:16" x14ac:dyDescent="0.25">
      <c r="A40" t="s">
        <v>346</v>
      </c>
      <c r="B40" t="s">
        <v>35</v>
      </c>
      <c r="C40" t="s">
        <v>42</v>
      </c>
      <c r="D40" t="s">
        <v>347</v>
      </c>
      <c r="E40" t="s">
        <v>348</v>
      </c>
      <c r="F40" t="s">
        <v>45</v>
      </c>
      <c r="G40" t="s">
        <v>368</v>
      </c>
      <c r="H40" t="s">
        <v>362</v>
      </c>
      <c r="I40" s="2">
        <v>1</v>
      </c>
      <c r="J40" s="2">
        <v>1</v>
      </c>
      <c r="K40" s="2">
        <v>0</v>
      </c>
      <c r="L40" s="2">
        <v>0.7</v>
      </c>
      <c r="M40" s="4">
        <f t="shared" si="5"/>
        <v>4</v>
      </c>
      <c r="N40" s="4">
        <f t="shared" si="6"/>
        <v>4</v>
      </c>
      <c r="O40" s="4">
        <f t="shared" si="7"/>
        <v>0</v>
      </c>
      <c r="P40" s="4">
        <f t="shared" si="4"/>
        <v>3</v>
      </c>
    </row>
    <row r="41" spans="1:16" x14ac:dyDescent="0.25">
      <c r="A41" t="s">
        <v>170</v>
      </c>
      <c r="B41" t="s">
        <v>35</v>
      </c>
      <c r="C41" t="s">
        <v>171</v>
      </c>
      <c r="D41" t="s">
        <v>28</v>
      </c>
      <c r="E41" t="s">
        <v>172</v>
      </c>
      <c r="F41" t="s">
        <v>173</v>
      </c>
      <c r="G41" t="s">
        <v>370</v>
      </c>
      <c r="H41" t="s">
        <v>362</v>
      </c>
      <c r="I41" s="2">
        <v>1</v>
      </c>
      <c r="J41" s="2">
        <v>1</v>
      </c>
      <c r="K41" s="2">
        <v>0</v>
      </c>
      <c r="L41" s="2">
        <v>0.7</v>
      </c>
      <c r="M41" s="4">
        <f t="shared" si="5"/>
        <v>4</v>
      </c>
      <c r="N41" s="4">
        <f t="shared" si="6"/>
        <v>4</v>
      </c>
      <c r="O41" s="4">
        <f t="shared" si="7"/>
        <v>0</v>
      </c>
      <c r="P41" s="4">
        <f t="shared" si="4"/>
        <v>3</v>
      </c>
    </row>
    <row r="42" spans="1:16" x14ac:dyDescent="0.25">
      <c r="A42" t="s">
        <v>179</v>
      </c>
      <c r="B42" t="s">
        <v>35</v>
      </c>
      <c r="C42" t="s">
        <v>180</v>
      </c>
      <c r="D42" t="s">
        <v>181</v>
      </c>
      <c r="E42" t="s">
        <v>182</v>
      </c>
      <c r="F42" t="s">
        <v>183</v>
      </c>
      <c r="G42" t="s">
        <v>364</v>
      </c>
      <c r="H42" t="s">
        <v>362</v>
      </c>
      <c r="I42" s="2">
        <v>1</v>
      </c>
      <c r="J42" s="2">
        <v>0.7</v>
      </c>
      <c r="K42" s="2">
        <v>0</v>
      </c>
      <c r="L42" s="2">
        <v>0.7</v>
      </c>
      <c r="M42" s="4">
        <f t="shared" si="5"/>
        <v>4</v>
      </c>
      <c r="N42" s="4">
        <f t="shared" si="6"/>
        <v>3</v>
      </c>
      <c r="O42" s="4">
        <f t="shared" si="7"/>
        <v>0</v>
      </c>
      <c r="P42" s="4">
        <f t="shared" si="4"/>
        <v>3</v>
      </c>
    </row>
    <row r="43" spans="1:16" x14ac:dyDescent="0.25">
      <c r="A43" t="s">
        <v>280</v>
      </c>
      <c r="B43" t="s">
        <v>35</v>
      </c>
      <c r="C43" t="s">
        <v>146</v>
      </c>
      <c r="D43" t="s">
        <v>281</v>
      </c>
      <c r="E43" t="s">
        <v>282</v>
      </c>
      <c r="F43" t="s">
        <v>149</v>
      </c>
      <c r="G43" t="s">
        <v>363</v>
      </c>
      <c r="H43" t="s">
        <v>358</v>
      </c>
      <c r="I43" s="2">
        <v>1</v>
      </c>
      <c r="J43" s="2">
        <v>0.7</v>
      </c>
      <c r="K43" s="2">
        <v>0</v>
      </c>
      <c r="L43" s="2">
        <v>0.7</v>
      </c>
      <c r="M43" s="4">
        <f t="shared" si="5"/>
        <v>4</v>
      </c>
      <c r="N43" s="4">
        <f t="shared" si="6"/>
        <v>3</v>
      </c>
      <c r="O43" s="4">
        <f t="shared" si="7"/>
        <v>0</v>
      </c>
      <c r="P43" s="4">
        <f t="shared" si="4"/>
        <v>3</v>
      </c>
    </row>
    <row r="44" spans="1:16" x14ac:dyDescent="0.25">
      <c r="A44" t="s">
        <v>292</v>
      </c>
      <c r="B44" t="s">
        <v>35</v>
      </c>
      <c r="C44" t="s">
        <v>293</v>
      </c>
      <c r="D44" t="s">
        <v>294</v>
      </c>
      <c r="E44" t="s">
        <v>295</v>
      </c>
      <c r="F44" t="s">
        <v>296</v>
      </c>
      <c r="G44" t="s">
        <v>372</v>
      </c>
      <c r="H44" t="s">
        <v>373</v>
      </c>
      <c r="I44" s="2">
        <v>1</v>
      </c>
      <c r="J44" s="2">
        <v>0.7</v>
      </c>
      <c r="K44" s="2">
        <v>0.1</v>
      </c>
      <c r="L44" s="2">
        <v>0.7</v>
      </c>
      <c r="M44" s="4">
        <f t="shared" si="5"/>
        <v>4</v>
      </c>
      <c r="N44" s="4">
        <f t="shared" si="6"/>
        <v>3</v>
      </c>
      <c r="O44" s="4">
        <f t="shared" si="7"/>
        <v>1</v>
      </c>
      <c r="P44" s="4">
        <f t="shared" si="4"/>
        <v>3</v>
      </c>
    </row>
    <row r="45" spans="1:16" x14ac:dyDescent="0.25">
      <c r="A45" t="s">
        <v>297</v>
      </c>
      <c r="B45" t="s">
        <v>35</v>
      </c>
      <c r="C45" t="s">
        <v>293</v>
      </c>
      <c r="D45" t="s">
        <v>298</v>
      </c>
      <c r="E45" t="s">
        <v>295</v>
      </c>
      <c r="F45" t="s">
        <v>296</v>
      </c>
      <c r="G45" t="s">
        <v>372</v>
      </c>
      <c r="H45" t="s">
        <v>373</v>
      </c>
      <c r="I45" s="2">
        <v>1</v>
      </c>
      <c r="J45" s="2">
        <v>0.7</v>
      </c>
      <c r="K45" s="2">
        <v>0.1</v>
      </c>
      <c r="L45" s="2">
        <v>0.7</v>
      </c>
      <c r="M45" s="4">
        <f t="shared" si="5"/>
        <v>4</v>
      </c>
      <c r="N45" s="4">
        <f t="shared" si="6"/>
        <v>3</v>
      </c>
      <c r="O45" s="4">
        <f t="shared" si="7"/>
        <v>1</v>
      </c>
      <c r="P45" s="4">
        <f t="shared" si="4"/>
        <v>3</v>
      </c>
    </row>
    <row r="46" spans="1:16" x14ac:dyDescent="0.25">
      <c r="A46" t="s">
        <v>109</v>
      </c>
      <c r="B46" t="s">
        <v>35</v>
      </c>
      <c r="C46" t="s">
        <v>110</v>
      </c>
      <c r="D46" t="s">
        <v>20</v>
      </c>
      <c r="E46" t="s">
        <v>111</v>
      </c>
      <c r="F46" t="s">
        <v>112</v>
      </c>
      <c r="G46" t="s">
        <v>369</v>
      </c>
      <c r="H46" t="s">
        <v>359</v>
      </c>
      <c r="I46" s="2">
        <v>1</v>
      </c>
      <c r="J46" s="2">
        <v>1</v>
      </c>
      <c r="K46" s="2">
        <v>0</v>
      </c>
      <c r="L46" s="2">
        <v>0.7</v>
      </c>
      <c r="M46" s="4">
        <f t="shared" si="5"/>
        <v>4</v>
      </c>
      <c r="N46" s="4">
        <f t="shared" si="6"/>
        <v>4</v>
      </c>
      <c r="O46" s="4">
        <f t="shared" si="7"/>
        <v>0</v>
      </c>
      <c r="P46" s="4">
        <f t="shared" si="4"/>
        <v>3</v>
      </c>
    </row>
    <row r="47" spans="1:16" x14ac:dyDescent="0.25">
      <c r="A47" t="s">
        <v>287</v>
      </c>
      <c r="B47" t="s">
        <v>35</v>
      </c>
      <c r="C47" t="s">
        <v>288</v>
      </c>
      <c r="D47" t="s">
        <v>289</v>
      </c>
      <c r="E47" t="s">
        <v>290</v>
      </c>
      <c r="F47" t="s">
        <v>291</v>
      </c>
      <c r="G47" t="s">
        <v>369</v>
      </c>
      <c r="H47" t="s">
        <v>371</v>
      </c>
      <c r="I47" s="2">
        <v>1</v>
      </c>
      <c r="J47" s="2">
        <v>1</v>
      </c>
      <c r="K47" s="2">
        <v>0</v>
      </c>
      <c r="L47" s="2">
        <v>0.7</v>
      </c>
      <c r="M47" s="4">
        <f t="shared" si="5"/>
        <v>4</v>
      </c>
      <c r="N47" s="4">
        <f t="shared" si="6"/>
        <v>4</v>
      </c>
      <c r="O47" s="4">
        <f t="shared" si="7"/>
        <v>0</v>
      </c>
      <c r="P47" s="4">
        <f t="shared" si="4"/>
        <v>3</v>
      </c>
    </row>
    <row r="48" spans="1:16" x14ac:dyDescent="0.25">
      <c r="A48" t="s">
        <v>325</v>
      </c>
      <c r="B48" t="s">
        <v>35</v>
      </c>
      <c r="C48" t="s">
        <v>103</v>
      </c>
      <c r="D48" t="s">
        <v>326</v>
      </c>
      <c r="E48" t="s">
        <v>327</v>
      </c>
      <c r="F48" t="s">
        <v>106</v>
      </c>
      <c r="G48" t="s">
        <v>361</v>
      </c>
      <c r="H48" t="s">
        <v>357</v>
      </c>
      <c r="I48" s="2">
        <v>1</v>
      </c>
      <c r="J48" s="2">
        <v>1</v>
      </c>
      <c r="K48" s="2">
        <v>0</v>
      </c>
      <c r="L48" s="2">
        <v>0.7</v>
      </c>
      <c r="M48" s="4">
        <f t="shared" si="5"/>
        <v>4</v>
      </c>
      <c r="N48" s="4">
        <f t="shared" si="6"/>
        <v>4</v>
      </c>
      <c r="O48" s="4">
        <f t="shared" si="7"/>
        <v>0</v>
      </c>
      <c r="P48" s="4">
        <f t="shared" si="4"/>
        <v>3</v>
      </c>
    </row>
    <row r="49" spans="1:16" x14ac:dyDescent="0.25">
      <c r="A49" t="s">
        <v>190</v>
      </c>
      <c r="B49" t="s">
        <v>35</v>
      </c>
      <c r="C49" t="s">
        <v>37</v>
      </c>
      <c r="D49" t="s">
        <v>191</v>
      </c>
      <c r="E49" t="s">
        <v>192</v>
      </c>
      <c r="F49" t="s">
        <v>40</v>
      </c>
      <c r="G49" t="s">
        <v>369</v>
      </c>
      <c r="H49" t="s">
        <v>362</v>
      </c>
      <c r="I49" s="2">
        <v>1</v>
      </c>
      <c r="J49" s="2">
        <v>1</v>
      </c>
      <c r="K49" s="2">
        <v>0</v>
      </c>
      <c r="L49" s="2">
        <v>0.7</v>
      </c>
      <c r="M49" s="4">
        <f t="shared" si="5"/>
        <v>4</v>
      </c>
      <c r="N49" s="4">
        <f t="shared" si="6"/>
        <v>4</v>
      </c>
      <c r="O49" s="4">
        <f t="shared" si="7"/>
        <v>0</v>
      </c>
      <c r="P49" s="4">
        <f t="shared" si="4"/>
        <v>3</v>
      </c>
    </row>
    <row r="50" spans="1:16" x14ac:dyDescent="0.25">
      <c r="A50" t="s">
        <v>196</v>
      </c>
      <c r="B50" t="s">
        <v>35</v>
      </c>
      <c r="C50" t="s">
        <v>37</v>
      </c>
      <c r="D50" t="s">
        <v>197</v>
      </c>
      <c r="E50" t="s">
        <v>198</v>
      </c>
      <c r="F50" t="s">
        <v>81</v>
      </c>
      <c r="G50" t="s">
        <v>360</v>
      </c>
      <c r="H50" t="s">
        <v>362</v>
      </c>
      <c r="I50" s="2">
        <v>1</v>
      </c>
      <c r="J50" s="2">
        <v>0.7</v>
      </c>
      <c r="K50" s="2">
        <v>0</v>
      </c>
      <c r="L50" s="2">
        <v>0.7</v>
      </c>
      <c r="M50" s="4">
        <f t="shared" si="5"/>
        <v>4</v>
      </c>
      <c r="N50" s="4">
        <f t="shared" si="6"/>
        <v>3</v>
      </c>
      <c r="O50" s="4">
        <f t="shared" si="7"/>
        <v>0</v>
      </c>
      <c r="P50" s="4">
        <f t="shared" si="4"/>
        <v>3</v>
      </c>
    </row>
    <row r="51" spans="1:16" x14ac:dyDescent="0.25">
      <c r="A51" t="s">
        <v>255</v>
      </c>
      <c r="B51" t="s">
        <v>35</v>
      </c>
      <c r="C51" t="s">
        <v>239</v>
      </c>
      <c r="D51" t="s">
        <v>17</v>
      </c>
      <c r="E51" t="s">
        <v>256</v>
      </c>
      <c r="F51" t="s">
        <v>241</v>
      </c>
      <c r="G51" t="s">
        <v>372</v>
      </c>
      <c r="H51" t="s">
        <v>373</v>
      </c>
      <c r="I51" s="2">
        <v>0.7</v>
      </c>
      <c r="J51" s="2">
        <v>0.7</v>
      </c>
      <c r="K51" s="2">
        <v>0</v>
      </c>
      <c r="L51" s="2">
        <v>1</v>
      </c>
      <c r="M51" s="4">
        <f t="shared" si="5"/>
        <v>3</v>
      </c>
      <c r="N51" s="4">
        <f t="shared" si="6"/>
        <v>3</v>
      </c>
      <c r="O51" s="4">
        <f t="shared" si="7"/>
        <v>0</v>
      </c>
      <c r="P51" s="4">
        <f t="shared" si="4"/>
        <v>4</v>
      </c>
    </row>
    <row r="52" spans="1:16" x14ac:dyDescent="0.25">
      <c r="A52" t="s">
        <v>199</v>
      </c>
      <c r="B52" t="s">
        <v>35</v>
      </c>
      <c r="C52" t="s">
        <v>139</v>
      </c>
      <c r="D52" t="s">
        <v>200</v>
      </c>
      <c r="E52" t="s">
        <v>201</v>
      </c>
      <c r="F52" t="s">
        <v>142</v>
      </c>
      <c r="G52" t="s">
        <v>369</v>
      </c>
      <c r="H52" t="s">
        <v>359</v>
      </c>
      <c r="I52" s="2">
        <v>1</v>
      </c>
      <c r="J52" s="2">
        <v>0.7</v>
      </c>
      <c r="K52" s="2">
        <v>0.35</v>
      </c>
      <c r="L52" s="2">
        <v>0.7</v>
      </c>
      <c r="M52" s="4">
        <f t="shared" si="5"/>
        <v>4</v>
      </c>
      <c r="N52" s="4">
        <f t="shared" si="6"/>
        <v>3</v>
      </c>
      <c r="O52" s="4">
        <f t="shared" si="7"/>
        <v>2</v>
      </c>
      <c r="P52" s="4">
        <f t="shared" si="4"/>
        <v>3</v>
      </c>
    </row>
    <row r="53" spans="1:16" x14ac:dyDescent="0.25">
      <c r="A53" t="s">
        <v>205</v>
      </c>
      <c r="B53" t="s">
        <v>35</v>
      </c>
      <c r="C53" t="s">
        <v>85</v>
      </c>
      <c r="D53" t="s">
        <v>15</v>
      </c>
      <c r="E53" t="s">
        <v>206</v>
      </c>
      <c r="F53" t="s">
        <v>87</v>
      </c>
      <c r="G53" t="s">
        <v>363</v>
      </c>
      <c r="H53" t="s">
        <v>358</v>
      </c>
      <c r="I53" s="2">
        <v>1</v>
      </c>
      <c r="J53" s="2">
        <v>0.7</v>
      </c>
      <c r="K53" s="2">
        <v>0</v>
      </c>
      <c r="L53" s="2">
        <v>0.7</v>
      </c>
      <c r="M53" s="4">
        <f t="shared" si="5"/>
        <v>4</v>
      </c>
      <c r="N53" s="4">
        <f t="shared" si="6"/>
        <v>3</v>
      </c>
      <c r="O53" s="4">
        <f t="shared" si="7"/>
        <v>0</v>
      </c>
      <c r="P53" s="4">
        <f t="shared" si="4"/>
        <v>3</v>
      </c>
    </row>
    <row r="54" spans="1:16" x14ac:dyDescent="0.25">
      <c r="A54" t="s">
        <v>309</v>
      </c>
      <c r="B54" t="s">
        <v>184</v>
      </c>
      <c r="C54" t="s">
        <v>310</v>
      </c>
      <c r="D54" t="s">
        <v>311</v>
      </c>
      <c r="E54" t="s">
        <v>312</v>
      </c>
      <c r="F54" t="s">
        <v>313</v>
      </c>
      <c r="G54" t="s">
        <v>370</v>
      </c>
      <c r="H54" t="s">
        <v>359</v>
      </c>
      <c r="I54" s="2">
        <v>1</v>
      </c>
      <c r="J54" s="2">
        <v>0.7</v>
      </c>
      <c r="K54" s="2">
        <v>0</v>
      </c>
      <c r="L54" s="2">
        <v>0.7</v>
      </c>
      <c r="M54" s="4">
        <f t="shared" si="5"/>
        <v>4</v>
      </c>
      <c r="N54" s="4">
        <f t="shared" si="6"/>
        <v>3</v>
      </c>
      <c r="O54" s="4">
        <f t="shared" si="7"/>
        <v>0</v>
      </c>
      <c r="P54" s="4">
        <f t="shared" si="4"/>
        <v>3</v>
      </c>
    </row>
    <row r="55" spans="1:16" x14ac:dyDescent="0.25">
      <c r="A55" t="s">
        <v>314</v>
      </c>
      <c r="B55" t="s">
        <v>35</v>
      </c>
      <c r="C55" t="s">
        <v>37</v>
      </c>
      <c r="D55" t="s">
        <v>315</v>
      </c>
      <c r="E55" t="s">
        <v>316</v>
      </c>
      <c r="F55" t="s">
        <v>40</v>
      </c>
      <c r="G55" t="s">
        <v>375</v>
      </c>
      <c r="H55" t="s">
        <v>357</v>
      </c>
      <c r="I55" s="2">
        <v>1</v>
      </c>
      <c r="J55" s="2">
        <v>0.7</v>
      </c>
      <c r="K55" s="2">
        <v>0</v>
      </c>
      <c r="L55" s="2">
        <v>0.7</v>
      </c>
      <c r="M55" s="4">
        <f t="shared" si="5"/>
        <v>4</v>
      </c>
      <c r="N55" s="4">
        <f t="shared" si="6"/>
        <v>3</v>
      </c>
      <c r="O55" s="4">
        <f t="shared" si="7"/>
        <v>0</v>
      </c>
      <c r="P55" s="4">
        <f t="shared" si="4"/>
        <v>3</v>
      </c>
    </row>
    <row r="56" spans="1:16" x14ac:dyDescent="0.25">
      <c r="A56" t="s">
        <v>214</v>
      </c>
      <c r="B56" t="s">
        <v>35</v>
      </c>
      <c r="C56" t="s">
        <v>139</v>
      </c>
      <c r="D56" t="s">
        <v>30</v>
      </c>
      <c r="E56" t="s">
        <v>215</v>
      </c>
      <c r="F56" t="s">
        <v>142</v>
      </c>
      <c r="G56" t="s">
        <v>372</v>
      </c>
      <c r="H56" t="s">
        <v>373</v>
      </c>
      <c r="I56" s="2">
        <v>1</v>
      </c>
      <c r="J56" s="2">
        <v>0.7</v>
      </c>
      <c r="K56" s="2">
        <v>0.35</v>
      </c>
      <c r="L56" s="2">
        <v>0.7</v>
      </c>
      <c r="M56" s="4">
        <f t="shared" si="5"/>
        <v>4</v>
      </c>
      <c r="N56" s="4">
        <f t="shared" si="6"/>
        <v>3</v>
      </c>
      <c r="O56" s="4">
        <f t="shared" si="7"/>
        <v>2</v>
      </c>
      <c r="P56" s="4">
        <f t="shared" si="4"/>
        <v>3</v>
      </c>
    </row>
    <row r="57" spans="1:16" x14ac:dyDescent="0.25">
      <c r="A57" t="s">
        <v>319</v>
      </c>
      <c r="B57" t="s">
        <v>35</v>
      </c>
      <c r="C57" t="s">
        <v>245</v>
      </c>
      <c r="D57" t="s">
        <v>320</v>
      </c>
      <c r="E57" t="s">
        <v>321</v>
      </c>
      <c r="F57" t="s">
        <v>248</v>
      </c>
      <c r="G57" t="s">
        <v>374</v>
      </c>
      <c r="H57" t="s">
        <v>362</v>
      </c>
      <c r="I57" s="2">
        <v>1</v>
      </c>
      <c r="J57" s="2">
        <v>0.7</v>
      </c>
      <c r="K57" s="2">
        <v>0</v>
      </c>
      <c r="L57" s="2">
        <v>0.7</v>
      </c>
      <c r="M57" s="4">
        <f t="shared" si="5"/>
        <v>4</v>
      </c>
      <c r="N57" s="4">
        <f t="shared" si="6"/>
        <v>3</v>
      </c>
      <c r="O57" s="4">
        <f t="shared" si="7"/>
        <v>0</v>
      </c>
      <c r="P57" s="4">
        <f t="shared" ref="P57:P78" si="8">IF(L57=1,4,IF(L57=0.7,3,IF(L57=0.35,2,IF(L57=0.1,1,0))))</f>
        <v>3</v>
      </c>
    </row>
    <row r="58" spans="1:16" x14ac:dyDescent="0.25">
      <c r="A58" t="s">
        <v>158</v>
      </c>
      <c r="B58" t="s">
        <v>35</v>
      </c>
      <c r="C58" t="s">
        <v>91</v>
      </c>
      <c r="D58" t="s">
        <v>159</v>
      </c>
      <c r="E58" t="s">
        <v>160</v>
      </c>
      <c r="F58" t="s">
        <v>94</v>
      </c>
      <c r="G58" t="s">
        <v>361</v>
      </c>
      <c r="H58" t="s">
        <v>367</v>
      </c>
      <c r="I58" s="2">
        <v>1</v>
      </c>
      <c r="J58" s="2">
        <v>0.7</v>
      </c>
      <c r="K58" s="2">
        <v>0</v>
      </c>
      <c r="L58" s="2">
        <v>0.7</v>
      </c>
      <c r="M58" s="4">
        <f t="shared" si="5"/>
        <v>4</v>
      </c>
      <c r="N58" s="4">
        <f t="shared" si="6"/>
        <v>3</v>
      </c>
      <c r="O58" s="4">
        <f t="shared" si="7"/>
        <v>0</v>
      </c>
      <c r="P58" s="4">
        <f t="shared" si="8"/>
        <v>3</v>
      </c>
    </row>
    <row r="59" spans="1:16" x14ac:dyDescent="0.25">
      <c r="A59" t="s">
        <v>216</v>
      </c>
      <c r="B59" t="s">
        <v>35</v>
      </c>
      <c r="C59" t="s">
        <v>117</v>
      </c>
      <c r="D59" t="s">
        <v>217</v>
      </c>
      <c r="E59" t="s">
        <v>208</v>
      </c>
      <c r="F59" t="s">
        <v>120</v>
      </c>
      <c r="G59" t="s">
        <v>372</v>
      </c>
      <c r="H59" t="s">
        <v>373</v>
      </c>
      <c r="I59" s="2">
        <v>0.7</v>
      </c>
      <c r="J59" s="2">
        <v>1</v>
      </c>
      <c r="K59" s="2">
        <v>0</v>
      </c>
      <c r="L59" s="2">
        <v>0.7</v>
      </c>
      <c r="M59" s="4">
        <f t="shared" si="5"/>
        <v>3</v>
      </c>
      <c r="N59" s="4">
        <f t="shared" si="6"/>
        <v>4</v>
      </c>
      <c r="O59" s="4">
        <f t="shared" si="7"/>
        <v>0</v>
      </c>
      <c r="P59" s="4">
        <f t="shared" si="8"/>
        <v>3</v>
      </c>
    </row>
    <row r="60" spans="1:16" x14ac:dyDescent="0.25">
      <c r="A60" t="s">
        <v>222</v>
      </c>
      <c r="B60" t="s">
        <v>35</v>
      </c>
      <c r="C60" t="s">
        <v>130</v>
      </c>
      <c r="D60" t="s">
        <v>223</v>
      </c>
      <c r="E60" t="s">
        <v>224</v>
      </c>
      <c r="F60" t="s">
        <v>133</v>
      </c>
      <c r="G60" t="s">
        <v>372</v>
      </c>
      <c r="H60" t="s">
        <v>373</v>
      </c>
      <c r="I60" s="2">
        <v>1</v>
      </c>
      <c r="J60" s="2">
        <v>0.7</v>
      </c>
      <c r="K60" s="2">
        <v>0</v>
      </c>
      <c r="L60" s="2">
        <v>0.7</v>
      </c>
      <c r="M60" s="4">
        <f t="shared" si="5"/>
        <v>4</v>
      </c>
      <c r="N60" s="4">
        <f t="shared" si="6"/>
        <v>3</v>
      </c>
      <c r="O60" s="4">
        <f t="shared" si="7"/>
        <v>0</v>
      </c>
      <c r="P60" s="4">
        <f t="shared" si="8"/>
        <v>3</v>
      </c>
    </row>
    <row r="61" spans="1:16" x14ac:dyDescent="0.25">
      <c r="A61" t="s">
        <v>299</v>
      </c>
      <c r="B61" t="s">
        <v>35</v>
      </c>
      <c r="C61" t="s">
        <v>180</v>
      </c>
      <c r="D61" t="s">
        <v>300</v>
      </c>
      <c r="E61" t="s">
        <v>301</v>
      </c>
      <c r="F61" t="s">
        <v>183</v>
      </c>
      <c r="G61" t="s">
        <v>372</v>
      </c>
      <c r="H61" t="s">
        <v>373</v>
      </c>
      <c r="I61" s="2">
        <v>0.7</v>
      </c>
      <c r="J61" s="2">
        <v>1</v>
      </c>
      <c r="K61" s="2">
        <v>0.7</v>
      </c>
      <c r="L61" s="2">
        <v>0.7</v>
      </c>
      <c r="M61" s="4">
        <f t="shared" si="5"/>
        <v>3</v>
      </c>
      <c r="N61" s="4">
        <f t="shared" si="6"/>
        <v>4</v>
      </c>
      <c r="O61" s="4">
        <f t="shared" si="7"/>
        <v>3</v>
      </c>
      <c r="P61" s="4">
        <f t="shared" si="8"/>
        <v>3</v>
      </c>
    </row>
    <row r="62" spans="1:16" x14ac:dyDescent="0.25">
      <c r="A62" t="s">
        <v>185</v>
      </c>
      <c r="B62" t="s">
        <v>184</v>
      </c>
      <c r="C62" t="s">
        <v>164</v>
      </c>
      <c r="D62" t="s">
        <v>186</v>
      </c>
      <c r="E62" t="s">
        <v>187</v>
      </c>
      <c r="F62" t="s">
        <v>166</v>
      </c>
      <c r="G62" t="s">
        <v>364</v>
      </c>
      <c r="H62" t="s">
        <v>362</v>
      </c>
      <c r="I62" s="2">
        <v>1</v>
      </c>
      <c r="J62" s="2">
        <v>0.7</v>
      </c>
      <c r="K62" s="2">
        <v>0</v>
      </c>
      <c r="L62" s="2">
        <v>0.7</v>
      </c>
      <c r="M62" s="4">
        <f t="shared" si="5"/>
        <v>4</v>
      </c>
      <c r="N62" s="4">
        <f t="shared" si="6"/>
        <v>3</v>
      </c>
      <c r="O62" s="4">
        <f t="shared" si="7"/>
        <v>0</v>
      </c>
      <c r="P62" s="4">
        <f t="shared" si="8"/>
        <v>3</v>
      </c>
    </row>
    <row r="63" spans="1:16" x14ac:dyDescent="0.25">
      <c r="A63" t="s">
        <v>121</v>
      </c>
      <c r="B63" t="s">
        <v>35</v>
      </c>
      <c r="C63" t="s">
        <v>122</v>
      </c>
      <c r="D63" t="s">
        <v>26</v>
      </c>
      <c r="E63" t="s">
        <v>123</v>
      </c>
      <c r="F63" t="s">
        <v>124</v>
      </c>
      <c r="G63" t="s">
        <v>370</v>
      </c>
      <c r="H63" t="s">
        <v>371</v>
      </c>
      <c r="I63" s="2">
        <v>1</v>
      </c>
      <c r="J63" s="2">
        <v>0.35</v>
      </c>
      <c r="K63" s="2">
        <v>0</v>
      </c>
      <c r="L63" s="2">
        <v>0.7</v>
      </c>
      <c r="M63" s="4">
        <f t="shared" si="5"/>
        <v>4</v>
      </c>
      <c r="N63" s="4">
        <f t="shared" si="6"/>
        <v>2</v>
      </c>
      <c r="O63" s="4">
        <f t="shared" si="7"/>
        <v>0</v>
      </c>
      <c r="P63" s="4">
        <f t="shared" si="8"/>
        <v>3</v>
      </c>
    </row>
    <row r="64" spans="1:16" x14ac:dyDescent="0.25">
      <c r="A64" t="s">
        <v>283</v>
      </c>
      <c r="B64" t="s">
        <v>35</v>
      </c>
      <c r="C64" t="s">
        <v>42</v>
      </c>
      <c r="D64" t="s">
        <v>281</v>
      </c>
      <c r="E64" t="s">
        <v>284</v>
      </c>
      <c r="F64" t="s">
        <v>45</v>
      </c>
      <c r="G64" t="s">
        <v>361</v>
      </c>
      <c r="H64" t="s">
        <v>362</v>
      </c>
      <c r="I64" s="2">
        <v>1</v>
      </c>
      <c r="J64" s="2">
        <v>0.7</v>
      </c>
      <c r="K64" s="2">
        <v>0</v>
      </c>
      <c r="L64" s="2">
        <v>0.7</v>
      </c>
      <c r="M64" s="4">
        <f t="shared" si="5"/>
        <v>4</v>
      </c>
      <c r="N64" s="4">
        <f t="shared" si="6"/>
        <v>3</v>
      </c>
      <c r="O64" s="4">
        <f t="shared" si="7"/>
        <v>0</v>
      </c>
      <c r="P64" s="4">
        <f t="shared" si="8"/>
        <v>3</v>
      </c>
    </row>
    <row r="65" spans="1:16" x14ac:dyDescent="0.25">
      <c r="A65" t="s">
        <v>225</v>
      </c>
      <c r="B65" t="s">
        <v>35</v>
      </c>
      <c r="C65" t="s">
        <v>91</v>
      </c>
      <c r="D65" t="s">
        <v>226</v>
      </c>
      <c r="E65" t="s">
        <v>227</v>
      </c>
      <c r="F65" t="s">
        <v>94</v>
      </c>
      <c r="G65" t="s">
        <v>361</v>
      </c>
      <c r="H65" t="s">
        <v>357</v>
      </c>
      <c r="I65" s="2">
        <v>1</v>
      </c>
      <c r="J65" s="2">
        <v>0.7</v>
      </c>
      <c r="K65" s="2">
        <v>0</v>
      </c>
      <c r="L65" s="2">
        <v>0.7</v>
      </c>
      <c r="M65" s="4">
        <f t="shared" si="5"/>
        <v>4</v>
      </c>
      <c r="N65" s="4">
        <f t="shared" si="6"/>
        <v>3</v>
      </c>
      <c r="O65" s="4">
        <f t="shared" si="7"/>
        <v>0</v>
      </c>
      <c r="P65" s="4">
        <f t="shared" si="8"/>
        <v>3</v>
      </c>
    </row>
    <row r="66" spans="1:16" x14ac:dyDescent="0.25">
      <c r="A66" t="s">
        <v>193</v>
      </c>
      <c r="B66" t="s">
        <v>35</v>
      </c>
      <c r="C66" t="s">
        <v>37</v>
      </c>
      <c r="D66" t="s">
        <v>194</v>
      </c>
      <c r="E66" t="s">
        <v>195</v>
      </c>
      <c r="F66" t="s">
        <v>81</v>
      </c>
      <c r="G66" t="s">
        <v>370</v>
      </c>
      <c r="H66" t="s">
        <v>367</v>
      </c>
      <c r="I66" s="2">
        <v>1</v>
      </c>
      <c r="J66" s="2">
        <v>0.7</v>
      </c>
      <c r="K66" s="2">
        <v>0</v>
      </c>
      <c r="L66" s="2">
        <v>0.7</v>
      </c>
      <c r="M66" s="4">
        <f t="shared" si="5"/>
        <v>4</v>
      </c>
      <c r="N66" s="4">
        <f t="shared" si="6"/>
        <v>3</v>
      </c>
      <c r="O66" s="4">
        <f t="shared" si="7"/>
        <v>0</v>
      </c>
      <c r="P66" s="4">
        <f t="shared" si="8"/>
        <v>3</v>
      </c>
    </row>
    <row r="67" spans="1:16" x14ac:dyDescent="0.25">
      <c r="A67" t="s">
        <v>228</v>
      </c>
      <c r="B67" t="s">
        <v>35</v>
      </c>
      <c r="C67" t="s">
        <v>229</v>
      </c>
      <c r="D67" t="s">
        <v>230</v>
      </c>
      <c r="E67" t="s">
        <v>231</v>
      </c>
      <c r="F67" t="s">
        <v>232</v>
      </c>
      <c r="G67" t="s">
        <v>363</v>
      </c>
      <c r="H67" t="s">
        <v>359</v>
      </c>
      <c r="I67" s="2">
        <v>1</v>
      </c>
      <c r="J67" s="2">
        <v>1</v>
      </c>
      <c r="K67" s="2">
        <v>0</v>
      </c>
      <c r="L67" s="2">
        <v>0.35</v>
      </c>
      <c r="M67" s="4">
        <f t="shared" ref="M67:M91" si="9">IF(I67=1,4,IF(I67=0.7,3,IF(I67=0.35,2,IF(I67=0.1,1,0))))</f>
        <v>4</v>
      </c>
      <c r="N67" s="4">
        <f t="shared" ref="N67:N91" si="10">IF(J67=1,4,IF(J67=0.7,3,IF(J67=0.35,2,IF(J67=0.1,1,0))))</f>
        <v>4</v>
      </c>
      <c r="O67" s="4">
        <f t="shared" ref="O67:O91" si="11">IF(K67=1,4,IF(K67=0.7,3,IF(K67=0.35,2,IF(K67=0.1,1,0))))</f>
        <v>0</v>
      </c>
      <c r="P67" s="4">
        <f t="shared" si="8"/>
        <v>2</v>
      </c>
    </row>
    <row r="68" spans="1:16" x14ac:dyDescent="0.25">
      <c r="A68" t="s">
        <v>233</v>
      </c>
      <c r="B68" t="s">
        <v>35</v>
      </c>
      <c r="C68" t="s">
        <v>234</v>
      </c>
      <c r="D68" t="s">
        <v>235</v>
      </c>
      <c r="E68" t="s">
        <v>236</v>
      </c>
      <c r="F68" t="s">
        <v>237</v>
      </c>
      <c r="G68" t="s">
        <v>372</v>
      </c>
      <c r="H68" t="s">
        <v>373</v>
      </c>
      <c r="I68" s="2">
        <v>0.7</v>
      </c>
      <c r="J68" s="2">
        <v>1</v>
      </c>
      <c r="K68" s="2">
        <v>0</v>
      </c>
      <c r="L68" s="2">
        <v>0.7</v>
      </c>
      <c r="M68" s="4">
        <f t="shared" si="9"/>
        <v>3</v>
      </c>
      <c r="N68" s="4">
        <f t="shared" si="10"/>
        <v>4</v>
      </c>
      <c r="O68" s="4">
        <f t="shared" si="11"/>
        <v>0</v>
      </c>
      <c r="P68" s="4">
        <f t="shared" si="8"/>
        <v>3</v>
      </c>
    </row>
    <row r="69" spans="1:16" x14ac:dyDescent="0.25">
      <c r="A69" t="s">
        <v>307</v>
      </c>
      <c r="B69" t="s">
        <v>35</v>
      </c>
      <c r="C69" t="s">
        <v>267</v>
      </c>
      <c r="D69" t="s">
        <v>308</v>
      </c>
      <c r="E69" t="s">
        <v>208</v>
      </c>
      <c r="F69" t="s">
        <v>270</v>
      </c>
      <c r="G69" t="s">
        <v>372</v>
      </c>
      <c r="H69" t="s">
        <v>373</v>
      </c>
      <c r="I69" s="2">
        <v>0.7</v>
      </c>
      <c r="J69" s="2">
        <v>1</v>
      </c>
      <c r="K69" s="2">
        <v>0.1</v>
      </c>
      <c r="L69" s="2">
        <v>0.7</v>
      </c>
      <c r="M69" s="4">
        <f t="shared" si="9"/>
        <v>3</v>
      </c>
      <c r="N69" s="4">
        <f t="shared" si="10"/>
        <v>4</v>
      </c>
      <c r="O69" s="4">
        <f t="shared" si="11"/>
        <v>1</v>
      </c>
      <c r="P69" s="4">
        <f t="shared" si="8"/>
        <v>3</v>
      </c>
    </row>
    <row r="70" spans="1:16" x14ac:dyDescent="0.25">
      <c r="A70" t="s">
        <v>244</v>
      </c>
      <c r="B70" t="s">
        <v>35</v>
      </c>
      <c r="C70" t="s">
        <v>245</v>
      </c>
      <c r="D70" t="s">
        <v>246</v>
      </c>
      <c r="E70" t="s">
        <v>247</v>
      </c>
      <c r="F70" t="s">
        <v>248</v>
      </c>
      <c r="G70" t="s">
        <v>374</v>
      </c>
      <c r="H70" t="s">
        <v>362</v>
      </c>
      <c r="I70" s="2">
        <v>0.7</v>
      </c>
      <c r="J70" s="2">
        <v>1</v>
      </c>
      <c r="K70" s="2">
        <v>0</v>
      </c>
      <c r="L70" s="2">
        <v>0.7</v>
      </c>
      <c r="M70" s="4">
        <f t="shared" si="9"/>
        <v>3</v>
      </c>
      <c r="N70" s="4">
        <f t="shared" si="10"/>
        <v>4</v>
      </c>
      <c r="O70" s="4">
        <f t="shared" si="11"/>
        <v>0</v>
      </c>
      <c r="P70" s="4">
        <f t="shared" si="8"/>
        <v>3</v>
      </c>
    </row>
    <row r="71" spans="1:16" x14ac:dyDescent="0.25">
      <c r="A71" t="s">
        <v>251</v>
      </c>
      <c r="B71" t="s">
        <v>35</v>
      </c>
      <c r="C71" t="s">
        <v>219</v>
      </c>
      <c r="D71" t="s">
        <v>252</v>
      </c>
      <c r="E71" t="s">
        <v>208</v>
      </c>
      <c r="F71" t="s">
        <v>221</v>
      </c>
      <c r="G71" t="s">
        <v>372</v>
      </c>
      <c r="H71" t="s">
        <v>373</v>
      </c>
      <c r="I71" s="2">
        <v>0.7</v>
      </c>
      <c r="J71" s="2">
        <v>0.7</v>
      </c>
      <c r="K71" s="2">
        <v>0</v>
      </c>
      <c r="L71" s="2">
        <v>0.7</v>
      </c>
      <c r="M71" s="4">
        <f t="shared" si="9"/>
        <v>3</v>
      </c>
      <c r="N71" s="4">
        <f t="shared" si="10"/>
        <v>3</v>
      </c>
      <c r="O71" s="4">
        <f t="shared" si="11"/>
        <v>0</v>
      </c>
      <c r="P71" s="4">
        <f t="shared" si="8"/>
        <v>3</v>
      </c>
    </row>
    <row r="72" spans="1:16" x14ac:dyDescent="0.25">
      <c r="A72" t="s">
        <v>218</v>
      </c>
      <c r="B72" t="s">
        <v>35</v>
      </c>
      <c r="C72" t="s">
        <v>219</v>
      </c>
      <c r="D72" t="s">
        <v>29</v>
      </c>
      <c r="E72" t="s">
        <v>220</v>
      </c>
      <c r="F72" t="s">
        <v>221</v>
      </c>
      <c r="G72" t="s">
        <v>372</v>
      </c>
      <c r="H72" t="s">
        <v>373</v>
      </c>
      <c r="I72" s="2">
        <v>0.7</v>
      </c>
      <c r="J72" s="2">
        <v>0.7</v>
      </c>
      <c r="K72" s="2">
        <v>0</v>
      </c>
      <c r="L72" s="2">
        <v>0.7</v>
      </c>
      <c r="M72" s="4">
        <f t="shared" si="9"/>
        <v>3</v>
      </c>
      <c r="N72" s="4">
        <f t="shared" si="10"/>
        <v>3</v>
      </c>
      <c r="O72" s="4">
        <f t="shared" si="11"/>
        <v>0</v>
      </c>
      <c r="P72" s="4">
        <f t="shared" si="8"/>
        <v>3</v>
      </c>
    </row>
    <row r="73" spans="1:16" x14ac:dyDescent="0.25">
      <c r="A73" t="s">
        <v>253</v>
      </c>
      <c r="B73" t="s">
        <v>35</v>
      </c>
      <c r="C73" t="s">
        <v>245</v>
      </c>
      <c r="D73" t="s">
        <v>13</v>
      </c>
      <c r="E73" t="s">
        <v>254</v>
      </c>
      <c r="F73" t="s">
        <v>248</v>
      </c>
      <c r="G73" t="s">
        <v>374</v>
      </c>
      <c r="H73" t="s">
        <v>362</v>
      </c>
      <c r="I73" s="2">
        <v>0.7</v>
      </c>
      <c r="J73" s="2">
        <v>0.7</v>
      </c>
      <c r="K73" s="2">
        <v>0</v>
      </c>
      <c r="L73" s="2">
        <v>0.7</v>
      </c>
      <c r="M73" s="4">
        <f t="shared" si="9"/>
        <v>3</v>
      </c>
      <c r="N73" s="4">
        <f t="shared" si="10"/>
        <v>3</v>
      </c>
      <c r="O73" s="4">
        <f t="shared" si="11"/>
        <v>0</v>
      </c>
      <c r="P73" s="4">
        <f t="shared" si="8"/>
        <v>3</v>
      </c>
    </row>
    <row r="74" spans="1:16" x14ac:dyDescent="0.25">
      <c r="A74" t="s">
        <v>174</v>
      </c>
      <c r="B74" t="s">
        <v>35</v>
      </c>
      <c r="C74" t="s">
        <v>175</v>
      </c>
      <c r="D74" t="s">
        <v>176</v>
      </c>
      <c r="E74" t="s">
        <v>177</v>
      </c>
      <c r="F74" t="s">
        <v>178</v>
      </c>
      <c r="G74" t="s">
        <v>361</v>
      </c>
      <c r="H74" t="s">
        <v>359</v>
      </c>
      <c r="I74" s="2">
        <v>0.7</v>
      </c>
      <c r="J74" s="2">
        <v>0.7</v>
      </c>
      <c r="K74" s="2">
        <v>0</v>
      </c>
      <c r="L74" s="2">
        <v>0.7</v>
      </c>
      <c r="M74" s="4">
        <f t="shared" si="9"/>
        <v>3</v>
      </c>
      <c r="N74" s="4">
        <f t="shared" si="10"/>
        <v>3</v>
      </c>
      <c r="O74" s="4">
        <f t="shared" si="11"/>
        <v>0</v>
      </c>
      <c r="P74" s="4">
        <f t="shared" si="8"/>
        <v>3</v>
      </c>
    </row>
    <row r="75" spans="1:16" x14ac:dyDescent="0.25">
      <c r="A75" t="s">
        <v>275</v>
      </c>
      <c r="B75" t="s">
        <v>35</v>
      </c>
      <c r="C75" t="s">
        <v>245</v>
      </c>
      <c r="D75" t="s">
        <v>24</v>
      </c>
      <c r="E75" t="s">
        <v>276</v>
      </c>
      <c r="F75" t="s">
        <v>248</v>
      </c>
      <c r="G75" t="s">
        <v>374</v>
      </c>
      <c r="H75" t="s">
        <v>362</v>
      </c>
      <c r="I75" s="2">
        <v>0.7</v>
      </c>
      <c r="J75" s="2">
        <v>0.7</v>
      </c>
      <c r="K75" s="2">
        <v>0</v>
      </c>
      <c r="L75" s="2">
        <v>0.7</v>
      </c>
      <c r="M75" s="4">
        <f t="shared" si="9"/>
        <v>3</v>
      </c>
      <c r="N75" s="4">
        <f t="shared" si="10"/>
        <v>3</v>
      </c>
      <c r="O75" s="4">
        <f t="shared" si="11"/>
        <v>0</v>
      </c>
      <c r="P75" s="4">
        <f t="shared" si="8"/>
        <v>3</v>
      </c>
    </row>
    <row r="76" spans="1:16" x14ac:dyDescent="0.25">
      <c r="A76" t="s">
        <v>262</v>
      </c>
      <c r="B76" t="s">
        <v>35</v>
      </c>
      <c r="C76" t="s">
        <v>263</v>
      </c>
      <c r="D76" t="s">
        <v>264</v>
      </c>
      <c r="E76" t="s">
        <v>208</v>
      </c>
      <c r="F76" t="s">
        <v>265</v>
      </c>
      <c r="G76" t="s">
        <v>372</v>
      </c>
      <c r="H76" t="s">
        <v>373</v>
      </c>
      <c r="I76" s="2">
        <v>0.7</v>
      </c>
      <c r="J76" s="2">
        <v>0.7</v>
      </c>
      <c r="K76" s="2">
        <v>0</v>
      </c>
      <c r="L76" s="2">
        <v>0.7</v>
      </c>
      <c r="M76" s="4">
        <f t="shared" si="9"/>
        <v>3</v>
      </c>
      <c r="N76" s="4">
        <f t="shared" si="10"/>
        <v>3</v>
      </c>
      <c r="O76" s="4">
        <f t="shared" si="11"/>
        <v>0</v>
      </c>
      <c r="P76" s="4">
        <f t="shared" si="8"/>
        <v>3</v>
      </c>
    </row>
    <row r="77" spans="1:16" x14ac:dyDescent="0.25">
      <c r="A77" t="s">
        <v>285</v>
      </c>
      <c r="B77" t="s">
        <v>35</v>
      </c>
      <c r="C77" t="s">
        <v>239</v>
      </c>
      <c r="D77" t="s">
        <v>16</v>
      </c>
      <c r="E77" t="s">
        <v>286</v>
      </c>
      <c r="F77" t="s">
        <v>241</v>
      </c>
      <c r="G77" t="s">
        <v>361</v>
      </c>
      <c r="H77" t="s">
        <v>359</v>
      </c>
      <c r="I77" s="2">
        <v>0.7</v>
      </c>
      <c r="J77" s="2">
        <v>1</v>
      </c>
      <c r="K77" s="2">
        <v>0</v>
      </c>
      <c r="L77" s="2">
        <v>0.7</v>
      </c>
      <c r="M77" s="4">
        <f t="shared" si="9"/>
        <v>3</v>
      </c>
      <c r="N77" s="4">
        <f t="shared" si="10"/>
        <v>4</v>
      </c>
      <c r="O77" s="4">
        <f t="shared" si="11"/>
        <v>0</v>
      </c>
      <c r="P77" s="4">
        <f t="shared" si="8"/>
        <v>3</v>
      </c>
    </row>
    <row r="78" spans="1:16" x14ac:dyDescent="0.25">
      <c r="A78" t="s">
        <v>302</v>
      </c>
      <c r="B78" t="s">
        <v>35</v>
      </c>
      <c r="C78" t="s">
        <v>303</v>
      </c>
      <c r="D78" t="s">
        <v>304</v>
      </c>
      <c r="E78" t="s">
        <v>305</v>
      </c>
      <c r="F78" t="s">
        <v>306</v>
      </c>
      <c r="G78" t="s">
        <v>374</v>
      </c>
      <c r="H78" t="s">
        <v>359</v>
      </c>
      <c r="I78" s="2">
        <v>0.7</v>
      </c>
      <c r="J78" s="2">
        <v>0.7</v>
      </c>
      <c r="K78" s="2">
        <v>0</v>
      </c>
      <c r="L78" s="2">
        <v>0.7</v>
      </c>
      <c r="M78" s="4">
        <f t="shared" si="9"/>
        <v>3</v>
      </c>
      <c r="N78" s="4">
        <f t="shared" si="10"/>
        <v>3</v>
      </c>
      <c r="O78" s="4">
        <f t="shared" si="11"/>
        <v>0</v>
      </c>
      <c r="P78" s="4">
        <f t="shared" si="8"/>
        <v>3</v>
      </c>
    </row>
    <row r="79" spans="1:16" x14ac:dyDescent="0.25">
      <c r="A79" t="s">
        <v>207</v>
      </c>
      <c r="B79" t="s">
        <v>35</v>
      </c>
      <c r="C79" t="s">
        <v>171</v>
      </c>
      <c r="D79" t="s">
        <v>22</v>
      </c>
      <c r="E79" t="s">
        <v>208</v>
      </c>
      <c r="F79" t="s">
        <v>173</v>
      </c>
      <c r="G79" t="s">
        <v>372</v>
      </c>
      <c r="H79" t="s">
        <v>373</v>
      </c>
      <c r="I79" s="2">
        <v>0.7</v>
      </c>
      <c r="J79" s="2">
        <v>0.7</v>
      </c>
      <c r="K79" s="2">
        <v>0</v>
      </c>
      <c r="L79" s="2">
        <v>0.7</v>
      </c>
      <c r="M79" s="4">
        <f t="shared" si="9"/>
        <v>3</v>
      </c>
      <c r="N79" s="4">
        <f t="shared" si="10"/>
        <v>3</v>
      </c>
      <c r="O79" s="4">
        <f t="shared" si="11"/>
        <v>0</v>
      </c>
      <c r="P79" s="4">
        <f t="shared" ref="P79:P90" si="12">IF(L79=1,4,IF(L79=0.7,3,IF(L79=0.35,2,IF(L79=0.1,1,0))))</f>
        <v>3</v>
      </c>
    </row>
    <row r="80" spans="1:16" x14ac:dyDescent="0.25">
      <c r="A80" t="s">
        <v>322</v>
      </c>
      <c r="B80" t="s">
        <v>35</v>
      </c>
      <c r="C80" t="s">
        <v>288</v>
      </c>
      <c r="D80" t="s">
        <v>323</v>
      </c>
      <c r="E80" t="s">
        <v>324</v>
      </c>
      <c r="F80" t="s">
        <v>291</v>
      </c>
      <c r="G80" t="s">
        <v>374</v>
      </c>
      <c r="H80" t="s">
        <v>371</v>
      </c>
      <c r="I80" s="2">
        <v>0.7</v>
      </c>
      <c r="J80" s="2">
        <v>0.7</v>
      </c>
      <c r="K80" s="2">
        <v>0</v>
      </c>
      <c r="L80" s="2">
        <v>0.7</v>
      </c>
      <c r="M80" s="4">
        <f t="shared" si="9"/>
        <v>3</v>
      </c>
      <c r="N80" s="4">
        <f t="shared" si="10"/>
        <v>3</v>
      </c>
      <c r="O80" s="4">
        <f t="shared" si="11"/>
        <v>0</v>
      </c>
      <c r="P80" s="4">
        <f t="shared" si="12"/>
        <v>3</v>
      </c>
    </row>
    <row r="81" spans="1:16" x14ac:dyDescent="0.25">
      <c r="A81" t="s">
        <v>249</v>
      </c>
      <c r="B81" t="s">
        <v>35</v>
      </c>
      <c r="C81" t="s">
        <v>110</v>
      </c>
      <c r="D81" t="s">
        <v>21</v>
      </c>
      <c r="E81" t="s">
        <v>250</v>
      </c>
      <c r="F81" t="s">
        <v>112</v>
      </c>
      <c r="G81" t="s">
        <v>370</v>
      </c>
      <c r="H81" t="s">
        <v>373</v>
      </c>
      <c r="I81" s="2">
        <v>0.7</v>
      </c>
      <c r="J81" s="2">
        <v>0.7</v>
      </c>
      <c r="K81" s="2">
        <v>0</v>
      </c>
      <c r="L81" s="2">
        <v>0.7</v>
      </c>
      <c r="M81" s="4">
        <f t="shared" si="9"/>
        <v>3</v>
      </c>
      <c r="N81" s="4">
        <f t="shared" si="10"/>
        <v>3</v>
      </c>
      <c r="O81" s="4">
        <f t="shared" si="11"/>
        <v>0</v>
      </c>
      <c r="P81" s="4">
        <f t="shared" si="12"/>
        <v>3</v>
      </c>
    </row>
    <row r="82" spans="1:16" x14ac:dyDescent="0.25">
      <c r="A82" t="s">
        <v>257</v>
      </c>
      <c r="B82" t="s">
        <v>35</v>
      </c>
      <c r="C82" t="s">
        <v>258</v>
      </c>
      <c r="D82" t="s">
        <v>259</v>
      </c>
      <c r="E82" t="s">
        <v>260</v>
      </c>
      <c r="F82" t="s">
        <v>261</v>
      </c>
      <c r="G82" t="s">
        <v>361</v>
      </c>
      <c r="H82" t="s">
        <v>359</v>
      </c>
      <c r="I82" s="2">
        <v>0.7</v>
      </c>
      <c r="J82" s="2">
        <v>0.7</v>
      </c>
      <c r="K82" s="2">
        <v>0</v>
      </c>
      <c r="L82" s="2">
        <v>0.35</v>
      </c>
      <c r="M82" s="4">
        <f t="shared" si="9"/>
        <v>3</v>
      </c>
      <c r="N82" s="4">
        <f t="shared" si="10"/>
        <v>3</v>
      </c>
      <c r="O82" s="4">
        <f t="shared" si="11"/>
        <v>0</v>
      </c>
      <c r="P82" s="4">
        <f t="shared" si="12"/>
        <v>2</v>
      </c>
    </row>
    <row r="83" spans="1:16" x14ac:dyDescent="0.25">
      <c r="A83" t="s">
        <v>328</v>
      </c>
      <c r="B83" t="s">
        <v>35</v>
      </c>
      <c r="C83" t="s">
        <v>329</v>
      </c>
      <c r="D83" t="s">
        <v>330</v>
      </c>
      <c r="E83" t="s">
        <v>331</v>
      </c>
      <c r="F83" t="s">
        <v>332</v>
      </c>
      <c r="G83" t="s">
        <v>361</v>
      </c>
      <c r="H83" t="s">
        <v>359</v>
      </c>
      <c r="I83" s="2">
        <v>0.7</v>
      </c>
      <c r="J83" s="2">
        <v>0.7</v>
      </c>
      <c r="K83" s="2">
        <v>0</v>
      </c>
      <c r="L83" s="2">
        <v>0.35</v>
      </c>
      <c r="M83" s="4">
        <f t="shared" si="9"/>
        <v>3</v>
      </c>
      <c r="N83" s="4">
        <f t="shared" si="10"/>
        <v>3</v>
      </c>
      <c r="O83" s="4">
        <f t="shared" si="11"/>
        <v>0</v>
      </c>
      <c r="P83" s="4">
        <f t="shared" si="12"/>
        <v>2</v>
      </c>
    </row>
    <row r="84" spans="1:16" x14ac:dyDescent="0.25">
      <c r="A84" t="s">
        <v>238</v>
      </c>
      <c r="B84" t="s">
        <v>35</v>
      </c>
      <c r="C84" t="s">
        <v>239</v>
      </c>
      <c r="D84" t="s">
        <v>18</v>
      </c>
      <c r="E84" t="s">
        <v>240</v>
      </c>
      <c r="F84" t="s">
        <v>241</v>
      </c>
      <c r="G84" t="s">
        <v>368</v>
      </c>
      <c r="H84" t="s">
        <v>359</v>
      </c>
      <c r="I84" s="2">
        <v>0.35</v>
      </c>
      <c r="J84" s="2">
        <v>1</v>
      </c>
      <c r="K84" s="2">
        <v>0.1</v>
      </c>
      <c r="L84" s="2">
        <v>0.7</v>
      </c>
      <c r="M84" s="4">
        <f t="shared" si="9"/>
        <v>2</v>
      </c>
      <c r="N84" s="4">
        <f t="shared" si="10"/>
        <v>4</v>
      </c>
      <c r="O84" s="4">
        <f t="shared" si="11"/>
        <v>1</v>
      </c>
      <c r="P84" s="4">
        <f t="shared" si="12"/>
        <v>3</v>
      </c>
    </row>
    <row r="85" spans="1:16" x14ac:dyDescent="0.25">
      <c r="A85" t="s">
        <v>333</v>
      </c>
      <c r="B85" t="s">
        <v>35</v>
      </c>
      <c r="C85" t="s">
        <v>64</v>
      </c>
      <c r="D85" t="s">
        <v>334</v>
      </c>
      <c r="E85" t="s">
        <v>335</v>
      </c>
      <c r="F85" t="s">
        <v>67</v>
      </c>
      <c r="G85" t="s">
        <v>372</v>
      </c>
      <c r="H85" t="s">
        <v>373</v>
      </c>
      <c r="I85" s="2">
        <v>0.35</v>
      </c>
      <c r="J85" s="2">
        <v>0.7</v>
      </c>
      <c r="K85" s="2">
        <v>0</v>
      </c>
      <c r="L85" s="2">
        <v>0.7</v>
      </c>
      <c r="M85" s="4">
        <f t="shared" si="9"/>
        <v>2</v>
      </c>
      <c r="N85" s="4">
        <f t="shared" si="10"/>
        <v>3</v>
      </c>
      <c r="O85" s="4">
        <f t="shared" si="11"/>
        <v>0</v>
      </c>
      <c r="P85" s="4">
        <f t="shared" si="12"/>
        <v>3</v>
      </c>
    </row>
    <row r="86" spans="1:16" x14ac:dyDescent="0.25">
      <c r="A86" t="s">
        <v>277</v>
      </c>
      <c r="B86" t="s">
        <v>35</v>
      </c>
      <c r="C86" t="s">
        <v>154</v>
      </c>
      <c r="D86" t="s">
        <v>278</v>
      </c>
      <c r="E86" t="s">
        <v>279</v>
      </c>
      <c r="F86" t="s">
        <v>157</v>
      </c>
      <c r="G86" t="s">
        <v>372</v>
      </c>
      <c r="H86" t="s">
        <v>359</v>
      </c>
      <c r="I86" s="2">
        <v>0.35</v>
      </c>
      <c r="J86" s="2">
        <v>0.7</v>
      </c>
      <c r="K86" s="2">
        <v>0</v>
      </c>
      <c r="L86" s="2">
        <v>0.7</v>
      </c>
      <c r="M86" s="4">
        <f t="shared" si="9"/>
        <v>2</v>
      </c>
      <c r="N86" s="4">
        <f t="shared" si="10"/>
        <v>3</v>
      </c>
      <c r="O86" s="4">
        <f t="shared" si="11"/>
        <v>0</v>
      </c>
      <c r="P86" s="4">
        <f t="shared" si="12"/>
        <v>3</v>
      </c>
    </row>
    <row r="87" spans="1:16" x14ac:dyDescent="0.25">
      <c r="A87" t="s">
        <v>271</v>
      </c>
      <c r="B87" t="s">
        <v>35</v>
      </c>
      <c r="C87" t="s">
        <v>272</v>
      </c>
      <c r="D87" t="s">
        <v>31</v>
      </c>
      <c r="E87" t="s">
        <v>273</v>
      </c>
      <c r="F87" t="s">
        <v>274</v>
      </c>
      <c r="G87" t="s">
        <v>361</v>
      </c>
      <c r="H87" t="s">
        <v>359</v>
      </c>
      <c r="I87" s="2">
        <v>0.7</v>
      </c>
      <c r="J87" s="2">
        <v>0.7</v>
      </c>
      <c r="K87" s="2">
        <v>0</v>
      </c>
      <c r="L87" s="2">
        <v>0.35</v>
      </c>
      <c r="M87" s="4">
        <f t="shared" si="9"/>
        <v>3</v>
      </c>
      <c r="N87" s="4">
        <f t="shared" si="10"/>
        <v>3</v>
      </c>
      <c r="O87" s="4">
        <f t="shared" si="11"/>
        <v>0</v>
      </c>
      <c r="P87" s="4">
        <f t="shared" si="12"/>
        <v>2</v>
      </c>
    </row>
    <row r="88" spans="1:16" x14ac:dyDescent="0.25">
      <c r="A88" t="s">
        <v>339</v>
      </c>
      <c r="B88" t="s">
        <v>35</v>
      </c>
      <c r="C88" t="s">
        <v>263</v>
      </c>
      <c r="D88" t="s">
        <v>340</v>
      </c>
      <c r="E88" t="s">
        <v>341</v>
      </c>
      <c r="F88" t="s">
        <v>265</v>
      </c>
      <c r="G88" t="s">
        <v>366</v>
      </c>
      <c r="H88" t="s">
        <v>359</v>
      </c>
      <c r="I88" s="2">
        <v>0.7</v>
      </c>
      <c r="J88" s="2">
        <v>0.35</v>
      </c>
      <c r="K88" s="2">
        <v>0</v>
      </c>
      <c r="L88" s="2">
        <v>0.35</v>
      </c>
      <c r="M88" s="4">
        <f t="shared" si="9"/>
        <v>3</v>
      </c>
      <c r="N88" s="4">
        <f t="shared" si="10"/>
        <v>2</v>
      </c>
      <c r="O88" s="4">
        <f t="shared" si="11"/>
        <v>0</v>
      </c>
      <c r="P88" s="4">
        <f t="shared" si="12"/>
        <v>2</v>
      </c>
    </row>
    <row r="89" spans="1:16" x14ac:dyDescent="0.25">
      <c r="A89" t="s">
        <v>342</v>
      </c>
      <c r="B89" t="s">
        <v>35</v>
      </c>
      <c r="C89" t="s">
        <v>343</v>
      </c>
      <c r="D89" t="s">
        <v>140</v>
      </c>
      <c r="E89" t="s">
        <v>344</v>
      </c>
      <c r="F89" t="s">
        <v>345</v>
      </c>
      <c r="G89" t="s">
        <v>372</v>
      </c>
      <c r="H89" t="s">
        <v>359</v>
      </c>
      <c r="I89" s="2">
        <v>0.7</v>
      </c>
      <c r="J89" s="2">
        <v>0.35</v>
      </c>
      <c r="K89" s="2">
        <v>0</v>
      </c>
      <c r="L89" s="2">
        <v>0.35</v>
      </c>
      <c r="M89" s="4">
        <f t="shared" si="9"/>
        <v>3</v>
      </c>
      <c r="N89" s="4">
        <f t="shared" si="10"/>
        <v>2</v>
      </c>
      <c r="O89" s="4">
        <f t="shared" si="11"/>
        <v>0</v>
      </c>
      <c r="P89" s="4">
        <f t="shared" si="12"/>
        <v>2</v>
      </c>
    </row>
    <row r="90" spans="1:16" x14ac:dyDescent="0.25">
      <c r="A90" t="s">
        <v>336</v>
      </c>
      <c r="B90" t="s">
        <v>35</v>
      </c>
      <c r="C90" t="s">
        <v>229</v>
      </c>
      <c r="D90" t="s">
        <v>337</v>
      </c>
      <c r="E90" t="s">
        <v>338</v>
      </c>
      <c r="F90" t="s">
        <v>232</v>
      </c>
      <c r="G90" t="s">
        <v>361</v>
      </c>
      <c r="H90" t="s">
        <v>359</v>
      </c>
      <c r="I90" s="2">
        <v>0.7</v>
      </c>
      <c r="J90" s="2">
        <v>0.35</v>
      </c>
      <c r="K90" s="2">
        <v>0</v>
      </c>
      <c r="L90" s="2">
        <v>0.35</v>
      </c>
      <c r="M90" s="4">
        <f t="shared" si="9"/>
        <v>3</v>
      </c>
      <c r="N90" s="4">
        <f t="shared" si="10"/>
        <v>2</v>
      </c>
      <c r="O90" s="4">
        <f t="shared" si="11"/>
        <v>0</v>
      </c>
      <c r="P90" s="4">
        <f t="shared" si="12"/>
        <v>2</v>
      </c>
    </row>
    <row r="91" spans="1:16" x14ac:dyDescent="0.25">
      <c r="A91" t="s">
        <v>349</v>
      </c>
      <c r="B91" t="s">
        <v>35</v>
      </c>
      <c r="C91" t="s">
        <v>350</v>
      </c>
      <c r="D91" t="s">
        <v>351</v>
      </c>
      <c r="E91" t="s">
        <v>208</v>
      </c>
      <c r="F91" t="s">
        <v>352</v>
      </c>
      <c r="G91" t="s">
        <v>372</v>
      </c>
      <c r="H91" t="s">
        <v>373</v>
      </c>
      <c r="I91" s="2">
        <v>0.35</v>
      </c>
      <c r="J91" s="2">
        <v>0.1</v>
      </c>
      <c r="K91" s="2">
        <v>0</v>
      </c>
      <c r="L91" s="2">
        <v>0.35</v>
      </c>
      <c r="M91" s="4">
        <f t="shared" si="9"/>
        <v>2</v>
      </c>
      <c r="N91" s="4">
        <f t="shared" si="10"/>
        <v>1</v>
      </c>
      <c r="O91" s="4">
        <f t="shared" si="11"/>
        <v>0</v>
      </c>
      <c r="P91" s="4">
        <f t="shared" ref="P91" si="13">IF(L91=1,4,IF(L91=0.7,3,IF(L91=0.35,2,IF(L91=0.1,1,0))))</f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CNIC</vt:lpstr>
      <vt:lpstr>PACFLT</vt:lpstr>
      <vt:lpstr>Fleet Forces</vt:lpstr>
      <vt:lpstr>NAVCENT</vt:lpstr>
      <vt:lpstr>EURAF</vt:lpstr>
      <vt:lpstr>NR</vt:lpstr>
      <vt:lpstr>Fleet Cyber</vt:lpstr>
      <vt:lpstr>MyNavyHR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Estruch, Maureen A CIV USN CNIC WASHINGTON DC (USA)</dc:creator>
  <cp:lastModifiedBy>Estruch, Maureen A CIV USN CNIC WASHINGTON DC (USA)</cp:lastModifiedBy>
  <dcterms:created xsi:type="dcterms:W3CDTF">2023-11-28T14:38:41Z</dcterms:created>
  <dcterms:modified xsi:type="dcterms:W3CDTF">2026-01-20T18:15:29Z</dcterms:modified>
</cp:coreProperties>
</file>